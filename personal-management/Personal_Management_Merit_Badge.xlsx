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Requirements Tracker" sheetId="2" state="visible" r:id="rId4"/>
    <sheet name="Req 1 Major Purchase" sheetId="3" state="visible" r:id="rId5"/>
    <sheet name="Req 2 Budget" sheetId="4" state="visible" r:id="rId6"/>
    <sheet name="Req 2 Actual" sheetId="5" state="visible" r:id="rId7"/>
    <sheet name="Req 2 Compare" sheetId="6" state="visible" r:id="rId8"/>
    <sheet name="Req 3-7 Discussions" sheetId="7" state="visible" r:id="rId9"/>
    <sheet name="Req 4 Interest Calc" sheetId="8" state="visible" r:id="rId10"/>
    <sheet name="Req 8 Time Mgmt" sheetId="9" state="visible" r:id="rId11"/>
    <sheet name="Req 9 Project Plan" sheetId="10" state="visible" r:id="rId12"/>
    <sheet name="Req 10 Career"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<sst xmlns="http://schemas.openxmlformats.org/spreadsheetml/2006/main" count="486" uniqueCount="394">
  <si>
    <t xml:space="preserve">Personal Management Merit Badge — Workbook</t>
  </si>
  <si>
    <t xml:space="preserve">Eagle-required. Fill in the yellow cells; everything else calculates.</t>
  </si>
  <si>
    <t xml:space="preserve">Your info</t>
  </si>
  <si>
    <t xml:space="preserve">Scout name</t>
  </si>
  <si>
    <t xml:space="preserve">Troop #</t>
  </si>
  <si>
    <t xml:space="preserve">Merit badge counselor</t>
  </si>
  <si>
    <t xml:space="preserve">Counselor phone / email</t>
  </si>
  <si>
    <t xml:space="preserve">Blue card signed by Scoutmaster on</t>
  </si>
  <si>
    <t xml:space="preserve">Dates (Requirement 2 needs 13 consecutive weeks)</t>
  </si>
  <si>
    <t xml:space="preserve">START DATE (week 1 begins)</t>
  </si>
  <si>
    <t xml:space="preserve">Change this one cell — every week, deadline and date in the workbook moves with it. Default is next Monday.</t>
  </si>
  <si>
    <t xml:space="preserve">END DATE (last day of week 13)</t>
  </si>
  <si>
    <t xml:space="preserve">Final counselor review (target)</t>
  </si>
  <si>
    <t xml:space="preserve">Days remaining until end date</t>
  </si>
  <si>
    <t xml:space="preserve">Overall progress</t>
  </si>
  <si>
    <t xml:space="preserve">How to use this workbook</t>
  </si>
  <si>
    <t xml:space="preserve">Yellow cell, blue text</t>
  </si>
  <si>
    <t xml:space="preserve">Your input — type here.</t>
  </si>
  <si>
    <t xml:space="preserve">White cell, black text</t>
  </si>
  <si>
    <t xml:space="preserve">Formula — don't type over it.</t>
  </si>
  <si>
    <t xml:space="preserve">Green cell</t>
  </si>
  <si>
    <t xml:space="preserve">Total / result.</t>
  </si>
  <si>
    <t xml:space="preserve">Example rows</t>
  </si>
  <si>
    <t xml:space="preserve">Rows marked “Example” show the format. Overwrite or clear them.</t>
  </si>
  <si>
    <t xml:space="preserve">Tabs (in the order you'll use them)</t>
  </si>
  <si>
    <t xml:space="preserve">Requirements Tracker</t>
  </si>
  <si>
    <t xml:space="preserve">Every requirement, target date, status and counselor sign-off.</t>
  </si>
  <si>
    <t xml:space="preserve">Req 1 Major Purchase</t>
  </si>
  <si>
    <t xml:space="preserve">Family purchase, savings plan, quality research, price comparison.</t>
  </si>
  <si>
    <t xml:space="preserve">Req 2 Budget</t>
  </si>
  <si>
    <t xml:space="preserve">13-week PLANNED income, expenses and savings (2a, 2b).</t>
  </si>
  <si>
    <t xml:space="preserve">Req 2 Actual</t>
  </si>
  <si>
    <t xml:space="preserve">13-week ACTUAL tracking — fill in every week (2c).</t>
  </si>
  <si>
    <t xml:space="preserve">Req 2 Compare</t>
  </si>
  <si>
    <t xml:space="preserve">Budget vs. actual, auto-calculated, plus your reflections (2d).</t>
  </si>
  <si>
    <t xml:space="preserve">Req 3-7 Discussions</t>
  </si>
  <si>
    <t xml:space="preserve">Notes for the money concepts, investing, insurance and credit talks.</t>
  </si>
  <si>
    <t xml:space="preserve">Req 4 Interest Calc</t>
  </si>
  <si>
    <t xml:space="preserve">Simple vs. compound interest calculator for 4c.</t>
  </si>
  <si>
    <t xml:space="preserve">Req 8 Time Mgmt</t>
  </si>
  <si>
    <t xml:space="preserve">To-do list, 7-day schedule and daily journal.</t>
  </si>
  <si>
    <t xml:space="preserve">Req 9 Project Plan</t>
  </si>
  <si>
    <t xml:space="preserve">On-paper project: goal, timeline, resources, budget.</t>
  </si>
  <si>
    <t xml:space="preserve">Req 10 Career</t>
  </si>
  <si>
    <t xml:space="preserve">Career research and cost to prepare.</t>
  </si>
  <si>
    <t xml:space="preserve">Requirement wording: transcribed from the Scouting America Personal Management requirements. Requirements are revised periodically — before you start, check the current version at scouting.org/merit-badges/personal-management and use whichever is in effect when you start.</t>
  </si>
  <si>
    <t xml:space="preserve">Target dates are calculated from your START DATE. Set Status and get counselor initials as you go.</t>
  </si>
  <si>
    <t xml:space="preserve">Progress:</t>
  </si>
  <si>
    <t xml:space="preserve">Req</t>
  </si>
  <si>
    <t xml:space="preserve">Requirement</t>
  </si>
  <si>
    <t xml:space="preserve">Work starts</t>
  </si>
  <si>
    <t xml:space="preserve">Target done</t>
  </si>
  <si>
    <t xml:space="preserve">Days left</t>
  </si>
  <si>
    <t xml:space="preserve">Status</t>
  </si>
  <si>
    <t xml:space="preserve">Date completed</t>
  </si>
  <si>
    <t xml:space="preserve">Counselor initials</t>
  </si>
  <si>
    <t xml:space="preserve">Notes</t>
  </si>
  <si>
    <t xml:space="preserve">1a</t>
  </si>
  <si>
    <t xml:space="preserve">Choose an item that your family might want to purchase that is considered a major expense.</t>
  </si>
  <si>
    <t xml:space="preserve">Not Started</t>
  </si>
  <si>
    <t xml:space="preserve">1b</t>
  </si>
  <si>
    <t xml:space="preserve">Write a plan that tells how your family would save money for the purchase identified in 1a.</t>
  </si>
  <si>
    <t xml:space="preserve">1b(1)</t>
  </si>
  <si>
    <t xml:space="preserve">Discuss the plan with your merit badge counselor.</t>
  </si>
  <si>
    <t xml:space="preserve">1b(2)</t>
  </si>
  <si>
    <t xml:space="preserve">Discuss the plan with your family.</t>
  </si>
  <si>
    <t xml:space="preserve">1b(3)</t>
  </si>
  <si>
    <t xml:space="preserve">Discuss how other family needs must be considered in this plan.</t>
  </si>
  <si>
    <t xml:space="preserve">1c</t>
  </si>
  <si>
    <t xml:space="preserve">Develop a written shopping strategy for the purchase identified in 1a.</t>
  </si>
  <si>
    <t xml:space="preserve">1c(1)</t>
  </si>
  <si>
    <t xml:space="preserve">Determine the quality of the item or service (using consumer publications or ratings systems).</t>
  </si>
  <si>
    <t xml:space="preserve">1c(2)</t>
  </si>
  <si>
    <t xml:space="preserve">Comparison shop for the item. Find out where you can buy it for the best price (prices from at least two different sources). Call around; study ads. Look for a sale or discount coupon. Consider alternatives. Can you buy it used? Should you wait for a sale?</t>
  </si>
  <si>
    <t xml:space="preserve">2a</t>
  </si>
  <si>
    <t xml:space="preserve">Prepare a budget reflecting your expected income (allowance, gifts, wages), expenses, and savings for 13 consecutive weeks.</t>
  </si>
  <si>
    <t xml:space="preserve">2b</t>
  </si>
  <si>
    <t xml:space="preserve">Compare expected income with expected expenses. (1) If expenses exceed income, determine steps to balance your budget. (2) If income exceeds expenses, state how you would use the excess money (new goal, savings).</t>
  </si>
  <si>
    <t xml:space="preserve">2c</t>
  </si>
  <si>
    <t xml:space="preserve">Track and record your actual income, expenses, and savings for 13 consecutive weeks (the same 13-week period you budgeted). When complete, present the records to your counselor.</t>
  </si>
  <si>
    <t xml:space="preserve">2d</t>
  </si>
  <si>
    <t xml:space="preserve">Compare your budget with your actual income and expenses to understand when your budget worked and when it did not. With your counselor, discuss what you might do differently next time.</t>
  </si>
  <si>
    <t xml:space="preserve">3</t>
  </si>
  <si>
    <t xml:space="preserve">Discuss with your counselor FIVE of the money concepts listed on the Req 3-7 Discussions tab.</t>
  </si>
  <si>
    <t xml:space="preserve">4</t>
  </si>
  <si>
    <t xml:space="preserve">Explain saving vs. investing, return on investment and risk, simple vs. compound interest, diversification, and why it is important to save and invest for retirement.</t>
  </si>
  <si>
    <t xml:space="preserve">5</t>
  </si>
  <si>
    <t xml:space="preserve">Explain what the following investments are and how each works: common stocks, mutual funds, life insurance, certificate of deposit (CD), savings account, U.S. savings bond.</t>
  </si>
  <si>
    <t xml:space="preserve">6</t>
  </si>
  <si>
    <t xml:space="preserve">Explain why people might purchase the following types of insurance and how they work: automobile, health, homeowner's/renter's, whole life and term life.</t>
  </si>
  <si>
    <t xml:space="preserve">7</t>
  </si>
  <si>
    <t xml:space="preserve">Explain loans, interest and APR; ways to borrow money; charge vs. debit vs. credit cards (costs, pitfalls, why paying only the minimum is unwise); credit reports; ways to reduce or eliminate debt.</t>
  </si>
  <si>
    <t xml:space="preserve">8a</t>
  </si>
  <si>
    <t xml:space="preserve">Write a “to do” list of tasks or activities that must be done in the coming week. List them in order of importance to you.</t>
  </si>
  <si>
    <t xml:space="preserve">8b</t>
  </si>
  <si>
    <t xml:space="preserve">Make a seven-day calendar or schedule with your set activities, then plan when you'll work on your to-do items between them.</t>
  </si>
  <si>
    <t xml:space="preserve">8c</t>
  </si>
  <si>
    <t xml:space="preserve">Follow the one-week schedule. Keep a daily diary/journal for each of the seven days, writing when you completed each to-do item compared to when you scheduled it.</t>
  </si>
  <si>
    <t xml:space="preserve">8d</t>
  </si>
  <si>
    <t xml:space="preserve">With your counselor, review your to-do list, schedule and journal to understand when your schedule worked and when it did not. Discuss what you might do differently next time.</t>
  </si>
  <si>
    <t xml:space="preserve">9</t>
  </si>
  <si>
    <t xml:space="preserve">Prepare a written project plan (on paper, not a real project): (a) define the project/goal, (b) timeline, (c) description, (d) list of resources and how they help, (e) budget. Discuss it with your counselor.</t>
  </si>
  <si>
    <t xml:space="preserve">10</t>
  </si>
  <si>
    <t xml:space="preserve">Choose a career you might want to enter after high school or college. Discuss the qualifications, education, skills and experience needed, and the costs to prepare and how you could prepare for them.</t>
  </si>
  <si>
    <t xml:space="preserve">Final</t>
  </si>
  <si>
    <t xml:space="preserve">Final review with counselor — bring this workbook. Counselor signs blue card.</t>
  </si>
  <si>
    <t xml:space="preserve">2a/2b are due the week BEFORE your start date so the budget exists before tracking begins. Red “Days left” = overdue.</t>
  </si>
  <si>
    <t xml:space="preserve">Requirement 1 — Major Family Purchase</t>
  </si>
  <si>
    <t xml:space="preserve">1a choose the item · 1b savings plan · 1c shopping strategy</t>
  </si>
  <si>
    <t xml:space="preserve">1a. The item</t>
  </si>
  <si>
    <t xml:space="preserve">Item your family might buy</t>
  </si>
  <si>
    <t xml:space="preserve">Why your family needs/wants it</t>
  </si>
  <si>
    <t xml:space="preserve">Estimated cost (from best price below)</t>
  </si>
  <si>
    <t xml:space="preserve">1b. Savings plan</t>
  </si>
  <si>
    <t xml:space="preserve">Amount already saved</t>
  </si>
  <si>
    <t xml:space="preserve">Amount family can save per month</t>
  </si>
  <si>
    <t xml:space="preserve">Amount still needed</t>
  </si>
  <si>
    <t xml:space="preserve">Months to reach goal</t>
  </si>
  <si>
    <t xml:space="preserve">Projected purchase date</t>
  </si>
  <si>
    <t xml:space="preserve">Where the savings will come from</t>
  </si>
  <si>
    <t xml:space="preserve">Discussion</t>
  </si>
  <si>
    <t xml:space="preserve">Done?</t>
  </si>
  <si>
    <t xml:space="preserve">Date</t>
  </si>
  <si>
    <t xml:space="preserve">Notes / what was said</t>
  </si>
  <si>
    <t xml:space="preserve">1b(1) With merit badge counselor</t>
  </si>
  <si>
    <t xml:space="preserve">1b(2) With your family</t>
  </si>
  <si>
    <t xml:space="preserve">1b(3) Other family needs to consider</t>
  </si>
  <si>
    <t xml:space="preserve">1c(1). Quality research (consumer publications / ratings)</t>
  </si>
  <si>
    <t xml:space="preserve">Source (e.g., Consumer Reports)</t>
  </si>
  <si>
    <t xml:space="preserve">Rating / score</t>
  </si>
  <si>
    <t xml:space="preserve">Pros</t>
  </si>
  <si>
    <t xml:space="preserve">Cons</t>
  </si>
  <si>
    <t xml:space="preserve">Takeaway</t>
  </si>
  <si>
    <t xml:space="preserve">Example: Consumer Reports</t>
  </si>
  <si>
    <t xml:space="preserve">4.5 / 5</t>
  </si>
  <si>
    <t xml:space="preserve">Reliable, efficient</t>
  </si>
  <si>
    <t xml:space="preserve">Pricier</t>
  </si>
  <si>
    <t xml:space="preserve">Top-rated in its class</t>
  </si>
  <si>
    <t xml:space="preserve">1c(2). Comparison shopping (at least 2 sources)</t>
  </si>
  <si>
    <t xml:space="preserve">Store / website</t>
  </si>
  <si>
    <t xml:space="preserve">Price</t>
  </si>
  <si>
    <t xml:space="preserve">New or used?</t>
  </si>
  <si>
    <t xml:space="preserve">Sale / coupon $</t>
  </si>
  <si>
    <t xml:space="preserve">Final price</t>
  </si>
  <si>
    <t xml:space="preserve">Notes (wait for a sale? alternatives?)</t>
  </si>
  <si>
    <t xml:space="preserve">Example: Best Buy</t>
  </si>
  <si>
    <t xml:space="preserve">New</t>
  </si>
  <si>
    <t xml:space="preserve">Holiday sale expected in Nov.</t>
  </si>
  <si>
    <t xml:space="preserve">Best price</t>
  </si>
  <si>
    <t xml:space="preserve">Best source</t>
  </si>
  <si>
    <t xml:space="preserve">Sources compared</t>
  </si>
  <si>
    <t xml:space="preserve">Written shopping strategy (1c)</t>
  </si>
  <si>
    <t xml:space="preserve">Requirement 2a/2b — 13-Week PLANNED Budget</t>
  </si>
  <si>
    <t xml:space="preserve">Enter what you EXPECT each week. Week 1 has example amounts — replace them with yours. Rename categories in column A if needed.</t>
  </si>
  <si>
    <t xml:space="preserve">Week #</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</si>
  <si>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</si>
  <si>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</si>
  <si>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</si>
  <si>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</si>
  <si>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</si>
  <si>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</si>
  <si>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</si>
  <si>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</si>
  <si>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</si>
  <si>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</si>
  <si>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</si>
  <si>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</si>
  <si>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</si>
  <si>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13-wk Total</t>
  </si>
  <si>
    <t xml:space="preserve">Week starts</t>
  </si>
  <si>
    <t xml:space="preserve">Week ends</t>
  </si>
  <si>
    <t xml:space="preserve">INCOME</t>
  </si>
  <si>
    <t xml:space="preserve">Allowance</t>
  </si>
  <si>
    <t xml:space="preserve">Gifts</t>
  </si>
  <si>
    <t xml:space="preserve">Wages / job</t>
  </si>
  <si>
    <t xml:space="preserve">Other income</t>
  </si>
  <si>
    <t xml:space="preserve">TOTAL INCOME</t>
  </si>
  <si>
    <t xml:space="preserve">EXPENSES</t>
  </si>
  <si>
    <t xml:space="preserve">Food &amp; snacks</t>
  </si>
  <si>
    <t xml:space="preserve">Entertainment</t>
  </si>
  <si>
    <t xml:space="preserve">Clothing</t>
  </si>
  <si>
    <t xml:space="preserve">Transportation / gas</t>
  </si>
  <si>
    <t xml:space="preserve">Phone / subscriptions</t>
  </si>
  <si>
    <t xml:space="preserve">School supplies &amp; fees</t>
  </si>
  <si>
    <t xml:space="preserve">Scouting / activities</t>
  </si>
  <si>
    <t xml:space="preserve">Gifts for others</t>
  </si>
  <si>
    <t xml:space="preserve">Charity / giving</t>
  </si>
  <si>
    <t xml:space="preserve">Other expenses</t>
  </si>
  <si>
    <t xml:space="preserve">TOTAL EXPENSES</t>
  </si>
  <si>
    <t xml:space="preserve">SAVINGS</t>
  </si>
  <si>
    <t xml:space="preserve">Savings — general</t>
  </si>
  <si>
    <t xml:space="preserve">Savings — goal (Req 1 / other)</t>
  </si>
  <si>
    <t xml:space="preserve">TOTAL SAVINGS</t>
  </si>
  <si>
    <t xml:space="preserve">Income − Expenses − Savings</t>
  </si>
  <si>
    <t xml:space="preserve">Running cash balance</t>
  </si>
  <si>
    <t xml:space="preserve">Running total saved</t>
  </si>
  <si>
    <t xml:space="preserve">2b. Compare expected income with expected expenses</t>
  </si>
  <si>
    <t xml:space="preserve">13-week expected income</t>
  </si>
  <si>
    <t xml:space="preserve">13-week expected expenses</t>
  </si>
  <si>
    <t xml:space="preserve">13-week planned savings</t>
  </si>
  <si>
    <t xml:space="preserve">Result</t>
  </si>
  <si>
    <t xml:space="preserve">2b(1) If expenses exceed income — steps to balance the budget</t>
  </si>
  <si>
    <t xml:space="preserve">2b(2) If income exceeds expenses — how I'll use the extra (new goal, savings)</t>
  </si>
  <si>
    <t xml:space="preserve">Requirement 2c — 13-Week ACTUAL Tracking</t>
  </si>
  <si>
    <t xml:space="preserve">Record what really came in and went out each week (same 13 weeks as the budget). Keep receipts. Update weekly — don't wait until the end.</t>
  </si>
  <si>
    <t xml:space="preserve">Weekly log check</t>
  </si>
  <si>
    <t xml:space="preserve">Week recorded?</t>
  </si>
  <si>
    <t xml:space="preserve">Weeks recorded</t>
  </si>
  <si>
    <t xml:space="preserve">Requirement 2d — Budget vs. Actual</t>
  </si>
  <si>
    <t xml:space="preserve">Calculated automatically. Positive variance on income/savings = better than planned; positive variance on expenses = overspent.</t>
  </si>
  <si>
    <t xml:space="preserve">Category</t>
  </si>
  <si>
    <t xml:space="preserve">Budgeted (13 wk)</t>
  </si>
  <si>
    <t xml:space="preserve">Actual (13 wk)</t>
  </si>
  <si>
    <t xml:space="preserve">Variance (Act − Bud)</t>
  </si>
  <si>
    <t xml:space="preserve">% of budget</t>
  </si>
  <si>
    <t xml:space="preserve">Why the difference? (fill in for 2d)</t>
  </si>
  <si>
    <t xml:space="preserve">Week</t>
  </si>
  <si>
    <t xml:space="preserve">Budgeted net</t>
  </si>
  <si>
    <t xml:space="preserve">Actual net</t>
  </si>
  <si>
    <t xml:space="preserve">Variance</t>
  </si>
  <si>
    <t xml:space="preserve">Worked?</t>
  </si>
  <si>
    <t xml:space="preserve">What happened that week?</t>
  </si>
  <si>
    <t xml:space="preserve">When did my budget WORK, and why?</t>
  </si>
  <si>
    <t xml:space="preserve">When did it NOT work, and why?</t>
  </si>
  <si>
    <t xml:space="preserve">What I'll do differently next time (discuss with counselor)</t>
  </si>
  <si>
    <t xml:space="preserve">Requirements 3–7 — Discussion Prep &amp; Notes</t>
  </si>
  <si>
    <t xml:space="preserve">Jot your thoughts BEFORE meeting your counselor. Your business academy / coffee shop experience is great material — use real examples.</t>
  </si>
  <si>
    <t xml:space="preserve">Requirement 3 — Discuss FIVE of the following concepts (mark Yes on five)</t>
  </si>
  <si>
    <t xml:space="preserve">Item</t>
  </si>
  <si>
    <t xml:space="preserve">Topic</t>
  </si>
  <si>
    <t xml:space="preserve">Pick</t>
  </si>
  <si>
    <t xml:space="preserve">My notes / real examples</t>
  </si>
  <si>
    <t xml:space="preserve">Date discussed</t>
  </si>
  <si>
    <t xml:space="preserve">3a</t>
  </si>
  <si>
    <t xml:space="preserve">The emotions you feel when you receive money.</t>
  </si>
  <si>
    <t xml:space="preserve">3b</t>
  </si>
  <si>
    <t xml:space="preserve">Your understanding of how the amount of money you have with you affects your spending habits.</t>
  </si>
  <si>
    <t xml:space="preserve">3c</t>
  </si>
  <si>
    <t xml:space="preserve">Your thoughts when you buy something new and your thoughts about the same item three months later. Explain the concept of buyer's remorse.</t>
  </si>
  <si>
    <t xml:space="preserve">3d</t>
  </si>
  <si>
    <t xml:space="preserve">How hobbies and interests affect your spending.</t>
  </si>
  <si>
    <t xml:space="preserve">3e</t>
  </si>
  <si>
    <t xml:space="preserve">Your understanding of risk and how it relates to money decisions.</t>
  </si>
  <si>
    <t xml:space="preserve">3f</t>
  </si>
  <si>
    <t xml:space="preserve">The difference between “needs” and “wants” and how they affect spending.</t>
  </si>
  <si>
    <t xml:space="preserve">3g</t>
  </si>
  <si>
    <t xml:space="preserve">How peer pressure / advertising affects your spending.</t>
  </si>
  <si>
    <t xml:space="preserve">3h</t>
  </si>
  <si>
    <t xml:space="preserve">Your understanding of charity and giving, and why people donate.</t>
  </si>
  <si>
    <t xml:space="preserve">3i</t>
  </si>
  <si>
    <t xml:space="preserve">Your understanding of what it means to “live within your means.”</t>
  </si>
  <si>
    <t xml:space="preserve">3j</t>
  </si>
  <si>
    <t xml:space="preserve">Your understanding of how money spent today affects choices tomorrow (opportunity cost).</t>
  </si>
  <si>
    <t xml:space="preserve">Concepts picked:</t>
  </si>
  <si>
    <t xml:space="preserve">Note: 3a–3d are transcribed exactly; confirm the wording of 3e–3j against the current official list before your meeting.</t>
  </si>
  <si>
    <t xml:space="preserve">Requirement 4 — Explain to your counselor</t>
  </si>
  <si>
    <t xml:space="preserve">Discussed</t>
  </si>
  <si>
    <t xml:space="preserve">4a</t>
  </si>
  <si>
    <t xml:space="preserve">The differences between saving and investing, including reasons for using one over the other.</t>
  </si>
  <si>
    <t xml:space="preserve">4b</t>
  </si>
  <si>
    <t xml:space="preserve">The concepts of return on investment and risk and how they are related.</t>
  </si>
  <si>
    <t xml:space="preserve">4c</t>
  </si>
  <si>
    <t xml:space="preserve">The concepts of simple interest and compound interest (see Req 4 Interest Calc tab).</t>
  </si>
  <si>
    <t xml:space="preserve">4d</t>
  </si>
  <si>
    <t xml:space="preserve">The concept of diversification.</t>
  </si>
  <si>
    <t xml:space="preserve">4e</t>
  </si>
  <si>
    <t xml:space="preserve">Why it is important to save and invest for retirement.</t>
  </si>
  <si>
    <t xml:space="preserve">Requirement 5 — Explain what these investments are and how each works</t>
  </si>
  <si>
    <t xml:space="preserve">5a</t>
  </si>
  <si>
    <t xml:space="preserve">Common stocks</t>
  </si>
  <si>
    <t xml:space="preserve">5b</t>
  </si>
  <si>
    <t xml:space="preserve">Mutual funds</t>
  </si>
  <si>
    <t xml:space="preserve">5c</t>
  </si>
  <si>
    <t xml:space="preserve">Life insurance</t>
  </si>
  <si>
    <t xml:space="preserve">5d</t>
  </si>
  <si>
    <t xml:space="preserve">A certificate of deposit (CD)</t>
  </si>
  <si>
    <t xml:space="preserve">5e</t>
  </si>
  <si>
    <t xml:space="preserve">A savings account</t>
  </si>
  <si>
    <t xml:space="preserve">5f</t>
  </si>
  <si>
    <t xml:space="preserve">A U.S. savings bond</t>
  </si>
  <si>
    <t xml:space="preserve">Requirement 6 — Explain why people might buy these types of insurance and how they work</t>
  </si>
  <si>
    <t xml:space="preserve">6a</t>
  </si>
  <si>
    <t xml:space="preserve">Automobile</t>
  </si>
  <si>
    <t xml:space="preserve">6b</t>
  </si>
  <si>
    <t xml:space="preserve">Health</t>
  </si>
  <si>
    <t xml:space="preserve">6c</t>
  </si>
  <si>
    <t xml:space="preserve">Homeowner's / renter's</t>
  </si>
  <si>
    <t xml:space="preserve">6d</t>
  </si>
  <si>
    <t xml:space="preserve">Whole life and term life</t>
  </si>
  <si>
    <t xml:space="preserve">Requirement 7 — Explain to your counselor</t>
  </si>
  <si>
    <t xml:space="preserve">7a</t>
  </si>
  <si>
    <t xml:space="preserve">What a loan is, what interest is, and how the annual percentage rate (APR) measures the true cost of a loan.</t>
  </si>
  <si>
    <t xml:space="preserve">7b</t>
  </si>
  <si>
    <t xml:space="preserve">The different ways to borrow money.</t>
  </si>
  <si>
    <t xml:space="preserve">7c</t>
  </si>
  <si>
    <t xml:space="preserve">The differences between a charge card, debit card, and credit card. What are the costs and pitfalls of using these? Why is it unwise to make only the minimum payment on your credit card?</t>
  </si>
  <si>
    <t xml:space="preserve">7d</t>
  </si>
  <si>
    <t xml:space="preserve">Credit reports and how personal responsibility can affect your credit report.</t>
  </si>
  <si>
    <t xml:space="preserve">7e</t>
  </si>
  <si>
    <t xml:space="preserve">Ways to reduce or eliminate debt.</t>
  </si>
  <si>
    <t xml:space="preserve">Requirement 4c — Simple vs. Compound Interest</t>
  </si>
  <si>
    <t xml:space="preserve">Change the yellow inputs to see how compounding grows money over time.</t>
  </si>
  <si>
    <t xml:space="preserve">Starting amount</t>
  </si>
  <si>
    <t xml:space="preserve">Annual interest rate</t>
  </si>
  <si>
    <t xml:space="preserve">Example rate — not a real quote</t>
  </si>
  <si>
    <t xml:space="preserve">Added each year</t>
  </si>
  <si>
    <t xml:space="preserve">Years</t>
  </si>
  <si>
    <t xml:space="preserve">Year</t>
  </si>
  <si>
    <t xml:space="preserve">Simple interest balance</t>
  </si>
  <si>
    <t xml:space="preserve">Compound interest balance</t>
  </si>
  <si>
    <t xml:space="preserve">Compounding advantage</t>
  </si>
  <si>
    <t xml:space="preserve">Total you put in</t>
  </si>
  <si>
    <t xml:space="preserve">Shows up to 40 years. Simple interest earns only on money deposited; compound interest also earns on past interest.</t>
  </si>
  <si>
    <t xml:space="preserve">Rule of 72: years to double ≈</t>
  </si>
  <si>
    <t xml:space="preserve">Requirement 8 — Time Management</t>
  </si>
  <si>
    <t xml:space="preserve">8a to-do list · 8b seven-day schedule · 8c follow it and keep a journal · 8d review with counselor</t>
  </si>
  <si>
    <t xml:space="preserve">Week begins:</t>
  </si>
  <si>
    <t xml:space="preserve">Defaults to week 6 of your 13 weeks — type a different date if you want.</t>
  </si>
  <si>
    <t xml:space="preserve">8a. To-do list — in order of importance</t>
  </si>
  <si>
    <t xml:space="preserve">Priority (1 = most)</t>
  </si>
  <si>
    <t xml:space="preserve">Task / activity</t>
  </si>
  <si>
    <t xml:space="preserve">Type</t>
  </si>
  <si>
    <t xml:space="preserve">Scheduled for</t>
  </si>
  <si>
    <t xml:space="preserve">Completed on</t>
  </si>
  <si>
    <t xml:space="preserve">On time?</t>
  </si>
  <si>
    <t xml:space="preserve">Example: Chemistry lab report</t>
  </si>
  <si>
    <t xml:space="preserve">Homework</t>
  </si>
  <si>
    <t xml:space="preserve">8b. Seven-day schedule — put SET activities first, then fit to-do items in the gaps</t>
  </si>
  <si>
    <t xml:space="preserve">Time</t>
  </si>
  <si>
    <t xml:space="preserve">6 AM</t>
  </si>
  <si>
    <t xml:space="preserve">7 AM</t>
  </si>
  <si>
    <t xml:space="preserve">8 AM–3 PM (school)</t>
  </si>
  <si>
    <t xml:space="preserve">3 PM</t>
  </si>
  <si>
    <t xml:space="preserve">4 PM</t>
  </si>
  <si>
    <t xml:space="preserve">5 PM</t>
  </si>
  <si>
    <t xml:space="preserve">6 PM</t>
  </si>
  <si>
    <t xml:space="preserve">7 PM</t>
  </si>
  <si>
    <t xml:space="preserve">8 PM</t>
  </si>
  <si>
    <t xml:space="preserve">9 PM</t>
  </si>
  <si>
    <t xml:space="preserve">10 PM</t>
  </si>
  <si>
    <t xml:space="preserve">8c. Daily journal — what you actually did vs. what you scheduled</t>
  </si>
  <si>
    <t xml:space="preserve">Day</t>
  </si>
  <si>
    <t xml:space="preserve">What I completed (and when)</t>
  </si>
  <si>
    <t xml:space="preserve">Scheduled vs. actual — what changed?</t>
  </si>
  <si>
    <t xml:space="preserve">8d. Review with counselor</t>
  </si>
  <si>
    <t xml:space="preserve">When my schedule worked</t>
  </si>
  <si>
    <t xml:space="preserve">When it didn't work</t>
  </si>
  <si>
    <t xml:space="preserve">What I'd do differently</t>
  </si>
  <si>
    <t xml:space="preserve">Requirement 9 — Written Project Plan (on paper)</t>
  </si>
  <si>
    <t xml:space="preserve">Examples: a camping trip, a community service project, a school or religious event, or an annual patrol plan.</t>
  </si>
  <si>
    <t xml:space="preserve">9a &amp; 9c. Define and describe the project</t>
  </si>
  <si>
    <t xml:space="preserve">Project name</t>
  </si>
  <si>
    <t xml:space="preserve">9a. Goal / desired outcome</t>
  </si>
  <si>
    <t xml:space="preserve">9c. Description</t>
  </si>
  <si>
    <t xml:space="preserve">9b. Timeline — every step from beginning to completion</t>
  </si>
  <si>
    <t xml:space="preserve">Step</t>
  </si>
  <si>
    <t xml:space="preserve">What needs to happen</t>
  </si>
  <si>
    <t xml:space="preserve">Start</t>
  </si>
  <si>
    <t xml:space="preserve">Finish</t>
  </si>
  <si>
    <t xml:space="preserve">Days</t>
  </si>
  <si>
    <t xml:space="preserve">Who's responsible</t>
  </si>
  <si>
    <t xml:space="preserve">Example: Get approval from Scoutmaster</t>
  </si>
  <si>
    <t xml:space="preserve">Me</t>
  </si>
  <si>
    <t xml:space="preserve">9d. Resources — and how each helps reach the goal</t>
  </si>
  <si>
    <t xml:space="preserve">Resource (people, equipment, places, info)</t>
  </si>
  <si>
    <t xml:space="preserve">How it helps achieve the goal</t>
  </si>
  <si>
    <t xml:space="preserve">9e. Project budget</t>
  </si>
  <si>
    <t xml:space="preserve">Qty</t>
  </si>
  <si>
    <t xml:space="preserve">Unit cost</t>
  </si>
  <si>
    <t xml:space="preserve">Total</t>
  </si>
  <si>
    <t xml:space="preserve">Funding source</t>
  </si>
  <si>
    <t xml:space="preserve">Example: Hot dogs (pack of 8)</t>
  </si>
  <si>
    <t xml:space="preserve">Food</t>
  </si>
  <si>
    <t xml:space="preserve">Troop funds</t>
  </si>
  <si>
    <t xml:space="preserve">TOTAL</t>
  </si>
  <si>
    <t xml:space="preserve">Discussed with counselor on</t>
  </si>
  <si>
    <t xml:space="preserve">Requirement 10 — Career Exploration</t>
  </si>
  <si>
    <t xml:space="preserve">Career I might want</t>
  </si>
  <si>
    <t xml:space="preserve">Why it interests me</t>
  </si>
  <si>
    <t xml:space="preserve">Qualifications needed</t>
  </si>
  <si>
    <t xml:space="preserve">Education needed (degree, certification)</t>
  </si>
  <si>
    <t xml:space="preserve">Skills needed</t>
  </si>
  <si>
    <t xml:space="preserve">Experience needed (internships, jobs)</t>
  </si>
  <si>
    <t xml:space="preserve">How my business academy / coffee shop finance work connects</t>
  </si>
  <si>
    <t xml:space="preserve">Costs to prepare for this career</t>
  </si>
  <si>
    <t xml:space="preserve">Cost item</t>
  </si>
  <si>
    <t xml:space="preserve">Estimated total</t>
  </si>
  <si>
    <t xml:space="preserve">Tuition</t>
  </si>
  <si>
    <t xml:space="preserve">Books &amp; supplies</t>
  </si>
  <si>
    <t xml:space="preserve">Room &amp; board</t>
  </si>
  <si>
    <t xml:space="preserve">Certifications / exams</t>
  </si>
  <si>
    <t xml:space="preserve">Transportation</t>
  </si>
  <si>
    <t xml:space="preserve">Other</t>
  </si>
  <si>
    <t xml:space="preserve">How I could prepare for / pay these costs (scholarships, savings, work, aid)</t>
  </si>
</sst>
</file>

<file path=xl/styles.xml><?xml version="1.0" encoding="utf-8"?>
<styleSheet xmlns="http://schemas.openxmlformats.org/spreadsheetml/2006/main">
  <numFmts count="10">
    <numFmt numFmtId="164" formatCode="General"/>
    <numFmt numFmtId="165" formatCode="ddd\ mm/dd/yyyy"/>
    <numFmt numFmtId="166" formatCode="0"/>
    <numFmt numFmtId="167" formatCode="0%"/>
    <numFmt numFmtId="168" formatCode="\$#,##0.00;&quot;($&quot;#,##0.00\);\-"/>
    <numFmt numFmtId="169" formatCode="mm/dd/yy"/>
    <numFmt numFmtId="170" formatCode="mm/dd/yyyy"/>
    <numFmt numFmtId="171" formatCode="0.0%"/>
    <numFmt numFmtId="172" formatCode="0.0"/>
    <numFmt numFmtId="173" formatCode="ddd\ mm/dd"/>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color rgb="FF0000FF"/>
      <name val="Arial"/>
      <family val="0"/>
      <charset val="1"/>
    </font>
    <font>
      <sz val="10"/>
      <name val="Arial"/>
      <family val="0"/>
      <charset val="1"/>
    </font>
    <font>
      <b val="true"/>
      <sz val="10"/>
      <color rgb="FF0000FF"/>
      <name val="Arial"/>
      <family val="0"/>
      <charset val="1"/>
    </font>
    <font>
      <b val="true"/>
      <sz val="11"/>
      <color rgb="FFFFFFFF"/>
      <name val="Arial"/>
      <family val="0"/>
      <charset val="1"/>
    </font>
    <font>
      <sz val="10"/>
      <color rgb="FF008000"/>
      <name val="Arial"/>
      <family val="0"/>
      <charset val="1"/>
    </font>
    <font>
      <b val="true"/>
      <sz val="10"/>
      <color rgb="FF008000"/>
      <name val="Arial"/>
      <family val="0"/>
      <charset val="1"/>
    </font>
  </fonts>
  <fills count="6">
    <fill>
      <patternFill patternType="none"/>
    </fill>
    <fill>
      <patternFill patternType="gray125"/>
    </fill>
    <fill>
      <patternFill patternType="solid">
        <fgColor rgb="FFD9E1F2"/>
        <bgColor rgb="FFE2EFDA"/>
      </patternFill>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8" fontId="12"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8" fontId="13" fillId="4" borderId="1" xfId="0" applyFont="true" applyBorder="true" applyAlignment="true" applyProtection="false">
      <alignment horizontal="general" vertical="top" textRotation="0" wrapText="true" indent="0" shrinkToFit="false"/>
      <protection locked="true" hidden="false"/>
    </xf>
    <xf numFmtId="170" fontId="8" fillId="3" borderId="1" xfId="0" applyFont="true" applyBorder="true" applyAlignment="true" applyProtection="false">
      <alignment horizontal="general" vertical="top" textRotation="0" wrapText="true" indent="0" shrinkToFit="false"/>
      <protection locked="true" hidden="false"/>
    </xf>
    <xf numFmtId="171"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72" fontId="9"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73" fontId="11" fillId="5"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6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row>
    <row r="5" customFormat="false" ht="15" hidden="false" customHeight="false" outlineLevel="0" collapsed="false">
      <c r="A5" s="5" t="s">
        <v>3</v>
      </c>
      <c r="B5" s="6"/>
    </row>
    <row r="6" customFormat="false" ht="15" hidden="false" customHeight="false" outlineLevel="0" collapsed="false">
      <c r="A6" s="5" t="s">
        <v>4</v>
      </c>
      <c r="B6" s="6"/>
    </row>
    <row r="7" customFormat="false" ht="15" hidden="false" customHeight="false" outlineLevel="0" collapsed="false">
      <c r="A7" s="5" t="s">
        <v>5</v>
      </c>
      <c r="B7" s="6"/>
    </row>
    <row r="8" customFormat="false" ht="15" hidden="false" customHeight="false" outlineLevel="0" collapsed="false">
      <c r="A8" s="5" t="s">
        <v>6</v>
      </c>
      <c r="B8" s="6"/>
    </row>
    <row r="9" customFormat="false" ht="15" hidden="false" customHeight="false" outlineLevel="0" collapsed="false">
      <c r="A9" s="5" t="s">
        <v>7</v>
      </c>
      <c r="B9" s="7"/>
    </row>
    <row r="11" customFormat="false" ht="15" hidden="false" customHeight="false" outlineLevel="0" collapsed="false">
      <c r="A11" s="3" t="s">
        <v>8</v>
      </c>
      <c r="B11" s="4"/>
      <c r="C11" s="4"/>
    </row>
    <row r="12" customFormat="false" ht="15" hidden="false" customHeight="false" outlineLevel="0" collapsed="false">
      <c r="A12" s="5" t="s">
        <v>9</v>
      </c>
      <c r="B12" s="7" t="n">
        <v>46307</v>
      </c>
      <c r="C12" s="2" t="s">
        <v>10</v>
      </c>
    </row>
    <row r="13" customFormat="false" ht="15" hidden="false" customHeight="false" outlineLevel="0" collapsed="false">
      <c r="A13" s="5" t="s">
        <v>11</v>
      </c>
      <c r="B13" s="8" t="n">
        <f aca="false">B12+13*7-1</f>
        <v>46397</v>
      </c>
    </row>
    <row r="14" customFormat="false" ht="15" hidden="false" customHeight="false" outlineLevel="0" collapsed="false">
      <c r="A14" s="5" t="s">
        <v>12</v>
      </c>
      <c r="B14" s="9" t="n">
        <f aca="false">B13+7</f>
        <v>46404</v>
      </c>
    </row>
    <row r="15" customFormat="false" ht="15" hidden="false" customHeight="false" outlineLevel="0" collapsed="false">
      <c r="A15" s="5" t="s">
        <v>13</v>
      </c>
      <c r="B15" s="10" t="n">
        <f aca="true">MAX(0,B13-TODAY())</f>
        <v>95</v>
      </c>
    </row>
    <row r="16" customFormat="false" ht="15" hidden="false" customHeight="false" outlineLevel="0" collapsed="false">
      <c r="A16" s="5" t="s">
        <v>14</v>
      </c>
      <c r="B16" s="11" t="n">
        <f aca="false">'Requirements Tracker'!$H$3</f>
        <v>0</v>
      </c>
    </row>
    <row r="18" customFormat="false" ht="15" hidden="false" customHeight="false" outlineLevel="0" collapsed="false">
      <c r="A18" s="3" t="s">
        <v>15</v>
      </c>
      <c r="B18" s="4"/>
      <c r="C18" s="4"/>
    </row>
    <row r="19" customFormat="false" ht="15" hidden="false" customHeight="false" outlineLevel="0" collapsed="false">
      <c r="A19" s="12" t="s">
        <v>16</v>
      </c>
      <c r="B19" s="13" t="s">
        <v>17</v>
      </c>
    </row>
    <row r="20" customFormat="false" ht="15" hidden="false" customHeight="false" outlineLevel="0" collapsed="false">
      <c r="A20" s="5" t="s">
        <v>18</v>
      </c>
      <c r="B20" s="13" t="s">
        <v>19</v>
      </c>
    </row>
    <row r="21" customFormat="false" ht="15" hidden="false" customHeight="false" outlineLevel="0" collapsed="false">
      <c r="A21" s="14" t="s">
        <v>20</v>
      </c>
      <c r="B21" s="13" t="s">
        <v>21</v>
      </c>
    </row>
    <row r="22" customFormat="false" ht="15" hidden="false" customHeight="false" outlineLevel="0" collapsed="false">
      <c r="A22" s="5" t="s">
        <v>22</v>
      </c>
      <c r="B22" s="13" t="s">
        <v>23</v>
      </c>
    </row>
    <row r="24" customFormat="false" ht="15" hidden="false" customHeight="false" outlineLevel="0" collapsed="false">
      <c r="A24" s="3" t="s">
        <v>24</v>
      </c>
      <c r="B24" s="4"/>
      <c r="C24" s="4"/>
    </row>
    <row r="25" customFormat="false" ht="15" hidden="false" customHeight="false" outlineLevel="0" collapsed="false">
      <c r="A25" s="5" t="s">
        <v>25</v>
      </c>
      <c r="B25" s="15" t="s">
        <v>26</v>
      </c>
      <c r="C25" s="15"/>
    </row>
    <row r="26" customFormat="false" ht="15" hidden="false" customHeight="false" outlineLevel="0" collapsed="false">
      <c r="A26" s="5" t="s">
        <v>27</v>
      </c>
      <c r="B26" s="15" t="s">
        <v>28</v>
      </c>
      <c r="C26" s="15"/>
    </row>
    <row r="27" customFormat="false" ht="15" hidden="false" customHeight="false" outlineLevel="0" collapsed="false">
      <c r="A27" s="5" t="s">
        <v>29</v>
      </c>
      <c r="B27" s="15" t="s">
        <v>30</v>
      </c>
      <c r="C27" s="15"/>
    </row>
    <row r="28" customFormat="false" ht="15" hidden="false" customHeight="false" outlineLevel="0" collapsed="false">
      <c r="A28" s="5" t="s">
        <v>31</v>
      </c>
      <c r="B28" s="15" t="s">
        <v>32</v>
      </c>
      <c r="C28" s="15"/>
    </row>
    <row r="29" customFormat="false" ht="15" hidden="false" customHeight="false" outlineLevel="0" collapsed="false">
      <c r="A29" s="5" t="s">
        <v>33</v>
      </c>
      <c r="B29" s="15" t="s">
        <v>34</v>
      </c>
      <c r="C29" s="15"/>
    </row>
    <row r="30" customFormat="false" ht="15" hidden="false" customHeight="false" outlineLevel="0" collapsed="false">
      <c r="A30" s="5" t="s">
        <v>35</v>
      </c>
      <c r="B30" s="15" t="s">
        <v>36</v>
      </c>
      <c r="C30" s="15"/>
    </row>
    <row r="31" customFormat="false" ht="15" hidden="false" customHeight="false" outlineLevel="0" collapsed="false">
      <c r="A31" s="5" t="s">
        <v>37</v>
      </c>
      <c r="B31" s="15" t="s">
        <v>38</v>
      </c>
      <c r="C31" s="15"/>
    </row>
    <row r="32" customFormat="false" ht="15" hidden="false" customHeight="false" outlineLevel="0" collapsed="false">
      <c r="A32" s="5" t="s">
        <v>39</v>
      </c>
      <c r="B32" s="15" t="s">
        <v>40</v>
      </c>
      <c r="C32" s="15"/>
    </row>
    <row r="33" customFormat="false" ht="15" hidden="false" customHeight="false" outlineLevel="0" collapsed="false">
      <c r="A33" s="5" t="s">
        <v>41</v>
      </c>
      <c r="B33" s="15" t="s">
        <v>42</v>
      </c>
      <c r="C33" s="15"/>
    </row>
    <row r="34" customFormat="false" ht="15" hidden="false" customHeight="false" outlineLevel="0" collapsed="false">
      <c r="A34" s="5" t="s">
        <v>43</v>
      </c>
      <c r="B34" s="15" t="s">
        <v>44</v>
      </c>
      <c r="C34" s="15"/>
    </row>
    <row r="36" customFormat="false" ht="39.75" hidden="false" customHeight="true" outlineLevel="0" collapsed="false">
      <c r="A36" s="16" t="s">
        <v>45</v>
      </c>
      <c r="B36" s="16"/>
      <c r="C36" s="16"/>
    </row>
  </sheetData>
  <mergeCells count="11">
    <mergeCell ref="B25:C25"/>
    <mergeCell ref="B26:C26"/>
    <mergeCell ref="B27:C27"/>
    <mergeCell ref="B28:C28"/>
    <mergeCell ref="B29:C29"/>
    <mergeCell ref="B30:C30"/>
    <mergeCell ref="B31:C31"/>
    <mergeCell ref="B32:C32"/>
    <mergeCell ref="B33:C33"/>
    <mergeCell ref="B34:C34"/>
    <mergeCell ref="A36:C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4" min="3" style="0" width="15"/>
    <col collapsed="false" customWidth="true" hidden="false" outlineLevel="0" max="5" min="5" style="0" width="9"/>
    <col collapsed="false" customWidth="true" hidden="false" outlineLevel="0" max="6" min="6" style="0" width="13"/>
    <col collapsed="false" customWidth="true" hidden="false" outlineLevel="0" max="7" min="7" style="0" width="15"/>
    <col collapsed="false" customWidth="true" hidden="false" outlineLevel="0" max="8" min="8" style="0" width="11"/>
    <col collapsed="false" customWidth="true" hidden="false" outlineLevel="0" max="9" min="9" style="0" width="30"/>
  </cols>
  <sheetData>
    <row r="1" customFormat="false" ht="19.7" hidden="false" customHeight="false" outlineLevel="0" collapsed="false">
      <c r="A1" s="1" t="s">
        <v>25</v>
      </c>
    </row>
    <row r="2" customFormat="false" ht="15" hidden="false" customHeight="false" outlineLevel="0" collapsed="false">
      <c r="A2" s="2" t="s">
        <v>46</v>
      </c>
    </row>
    <row r="3" customFormat="false" ht="15" hidden="false" customHeight="false" outlineLevel="0" collapsed="false">
      <c r="G3" s="17" t="s">
        <v>47</v>
      </c>
      <c r="H3" s="18" t="n">
        <f aca="false">COUNTIF(F6:F29,"Done")/COUNTA(A6:A29)</f>
        <v>0</v>
      </c>
    </row>
    <row r="5" customFormat="false" ht="26.85" hidden="false" customHeight="false" outlineLevel="0" collapsed="false">
      <c r="A5" s="19" t="s">
        <v>48</v>
      </c>
      <c r="B5" s="19" t="s">
        <v>49</v>
      </c>
      <c r="C5" s="19" t="s">
        <v>50</v>
      </c>
      <c r="D5" s="19" t="s">
        <v>51</v>
      </c>
      <c r="E5" s="19" t="s">
        <v>52</v>
      </c>
      <c r="F5" s="19" t="s">
        <v>53</v>
      </c>
      <c r="G5" s="19" t="s">
        <v>54</v>
      </c>
      <c r="H5" s="19" t="s">
        <v>55</v>
      </c>
      <c r="I5" s="19" t="s">
        <v>56</v>
      </c>
    </row>
    <row r="6" customFormat="false" ht="30" hidden="false" customHeight="true" outlineLevel="0" collapsed="false">
      <c r="A6" s="20" t="s">
        <v>57</v>
      </c>
      <c r="B6" s="21" t="s">
        <v>58</v>
      </c>
      <c r="C6" s="9" t="n">
        <f aca="false">'Start Here'!$B$12+0</f>
        <v>46307</v>
      </c>
      <c r="D6" s="9" t="n">
        <f aca="false">'Start Here'!$B$12+6</f>
        <v>46313</v>
      </c>
      <c r="E6" s="10" t="n">
        <f aca="true">IF(F6="Done","",D6-TODAY())</f>
        <v>11</v>
      </c>
      <c r="F6" s="6" t="s">
        <v>59</v>
      </c>
      <c r="G6" s="7"/>
      <c r="H6" s="6"/>
      <c r="I6" s="6"/>
    </row>
    <row r="7" customFormat="false" ht="30" hidden="false" customHeight="true" outlineLevel="0" collapsed="false">
      <c r="A7" s="20" t="s">
        <v>60</v>
      </c>
      <c r="B7" s="21" t="s">
        <v>61</v>
      </c>
      <c r="C7" s="9" t="n">
        <f aca="false">'Start Here'!$B$12+0</f>
        <v>46307</v>
      </c>
      <c r="D7" s="9" t="n">
        <f aca="false">'Start Here'!$B$12+13</f>
        <v>46320</v>
      </c>
      <c r="E7" s="10" t="n">
        <f aca="true">IF(F7="Done","",D7-TODAY())</f>
        <v>18</v>
      </c>
      <c r="F7" s="6" t="s">
        <v>59</v>
      </c>
      <c r="G7" s="7"/>
      <c r="H7" s="6"/>
      <c r="I7" s="6"/>
    </row>
    <row r="8" customFormat="false" ht="30" hidden="false" customHeight="true" outlineLevel="0" collapsed="false">
      <c r="A8" s="20" t="s">
        <v>62</v>
      </c>
      <c r="B8" s="21" t="s">
        <v>63</v>
      </c>
      <c r="C8" s="9" t="n">
        <f aca="false">'Start Here'!$B$12+7</f>
        <v>46314</v>
      </c>
      <c r="D8" s="9" t="n">
        <f aca="false">'Start Here'!$B$12+20</f>
        <v>46327</v>
      </c>
      <c r="E8" s="10" t="n">
        <f aca="true">IF(F8="Done","",D8-TODAY())</f>
        <v>25</v>
      </c>
      <c r="F8" s="6" t="s">
        <v>59</v>
      </c>
      <c r="G8" s="7"/>
      <c r="H8" s="6"/>
      <c r="I8" s="6"/>
    </row>
    <row r="9" customFormat="false" ht="30" hidden="false" customHeight="true" outlineLevel="0" collapsed="false">
      <c r="A9" s="20" t="s">
        <v>64</v>
      </c>
      <c r="B9" s="21" t="s">
        <v>65</v>
      </c>
      <c r="C9" s="9" t="n">
        <f aca="false">'Start Here'!$B$12+7</f>
        <v>46314</v>
      </c>
      <c r="D9" s="9" t="n">
        <f aca="false">'Start Here'!$B$12+13</f>
        <v>46320</v>
      </c>
      <c r="E9" s="10" t="n">
        <f aca="true">IF(F9="Done","",D9-TODAY())</f>
        <v>18</v>
      </c>
      <c r="F9" s="6" t="s">
        <v>59</v>
      </c>
      <c r="G9" s="7"/>
      <c r="H9" s="6"/>
      <c r="I9" s="6"/>
    </row>
    <row r="10" customFormat="false" ht="30" hidden="false" customHeight="true" outlineLevel="0" collapsed="false">
      <c r="A10" s="20" t="s">
        <v>66</v>
      </c>
      <c r="B10" s="21" t="s">
        <v>67</v>
      </c>
      <c r="C10" s="9" t="n">
        <f aca="false">'Start Here'!$B$12+7</f>
        <v>46314</v>
      </c>
      <c r="D10" s="9" t="n">
        <f aca="false">'Start Here'!$B$12+20</f>
        <v>46327</v>
      </c>
      <c r="E10" s="10" t="n">
        <f aca="true">IF(F10="Done","",D10-TODAY())</f>
        <v>25</v>
      </c>
      <c r="F10" s="6" t="s">
        <v>59</v>
      </c>
      <c r="G10" s="7"/>
      <c r="H10" s="6"/>
      <c r="I10" s="6"/>
    </row>
    <row r="11" customFormat="false" ht="30" hidden="false" customHeight="true" outlineLevel="0" collapsed="false">
      <c r="A11" s="20" t="s">
        <v>68</v>
      </c>
      <c r="B11" s="21" t="s">
        <v>69</v>
      </c>
      <c r="C11" s="9" t="n">
        <f aca="false">'Start Here'!$B$12+7</f>
        <v>46314</v>
      </c>
      <c r="D11" s="9" t="n">
        <f aca="false">'Start Here'!$B$12+20</f>
        <v>46327</v>
      </c>
      <c r="E11" s="10" t="n">
        <f aca="true">IF(F11="Done","",D11-TODAY())</f>
        <v>25</v>
      </c>
      <c r="F11" s="6" t="s">
        <v>59</v>
      </c>
      <c r="G11" s="7"/>
      <c r="H11" s="6"/>
      <c r="I11" s="6"/>
    </row>
    <row r="12" customFormat="false" ht="30" hidden="false" customHeight="true" outlineLevel="0" collapsed="false">
      <c r="A12" s="20" t="s">
        <v>70</v>
      </c>
      <c r="B12" s="21" t="s">
        <v>71</v>
      </c>
      <c r="C12" s="9" t="n">
        <f aca="false">'Start Here'!$B$12+7</f>
        <v>46314</v>
      </c>
      <c r="D12" s="9" t="n">
        <f aca="false">'Start Here'!$B$12+20</f>
        <v>46327</v>
      </c>
      <c r="E12" s="10" t="n">
        <f aca="true">IF(F12="Done","",D12-TODAY())</f>
        <v>25</v>
      </c>
      <c r="F12" s="6" t="s">
        <v>59</v>
      </c>
      <c r="G12" s="7"/>
      <c r="H12" s="6"/>
      <c r="I12" s="6"/>
    </row>
    <row r="13" customFormat="false" ht="42" hidden="false" customHeight="true" outlineLevel="0" collapsed="false">
      <c r="A13" s="20" t="s">
        <v>72</v>
      </c>
      <c r="B13" s="21" t="s">
        <v>73</v>
      </c>
      <c r="C13" s="9" t="n">
        <f aca="false">'Start Here'!$B$12+7</f>
        <v>46314</v>
      </c>
      <c r="D13" s="9" t="n">
        <f aca="false">'Start Here'!$B$12+20</f>
        <v>46327</v>
      </c>
      <c r="E13" s="10" t="n">
        <f aca="true">IF(F13="Done","",D13-TODAY())</f>
        <v>25</v>
      </c>
      <c r="F13" s="6" t="s">
        <v>59</v>
      </c>
      <c r="G13" s="7"/>
      <c r="H13" s="6"/>
      <c r="I13" s="6"/>
    </row>
    <row r="14" customFormat="false" ht="42" hidden="false" customHeight="true" outlineLevel="0" collapsed="false">
      <c r="A14" s="20" t="s">
        <v>74</v>
      </c>
      <c r="B14" s="21" t="s">
        <v>75</v>
      </c>
      <c r="C14" s="9" t="n">
        <f aca="false">'Start Here'!$B$12+-7</f>
        <v>46300</v>
      </c>
      <c r="D14" s="9" t="n">
        <f aca="false">'Start Here'!$B$12+-1</f>
        <v>46306</v>
      </c>
      <c r="E14" s="10" t="n">
        <f aca="true">IF(F14="Done","",D14-TODAY())</f>
        <v>4</v>
      </c>
      <c r="F14" s="6" t="s">
        <v>59</v>
      </c>
      <c r="G14" s="7"/>
      <c r="H14" s="6"/>
      <c r="I14" s="6"/>
    </row>
    <row r="15" customFormat="false" ht="42" hidden="false" customHeight="true" outlineLevel="0" collapsed="false">
      <c r="A15" s="20" t="s">
        <v>76</v>
      </c>
      <c r="B15" s="21" t="s">
        <v>77</v>
      </c>
      <c r="C15" s="9" t="n">
        <f aca="false">'Start Here'!$B$12+-7</f>
        <v>46300</v>
      </c>
      <c r="D15" s="9" t="n">
        <f aca="false">'Start Here'!$B$12+-1</f>
        <v>46306</v>
      </c>
      <c r="E15" s="10" t="n">
        <f aca="true">IF(F15="Done","",D15-TODAY())</f>
        <v>4</v>
      </c>
      <c r="F15" s="6" t="s">
        <v>59</v>
      </c>
      <c r="G15" s="7"/>
      <c r="H15" s="6"/>
      <c r="I15" s="6"/>
    </row>
    <row r="16" customFormat="false" ht="42" hidden="false" customHeight="true" outlineLevel="0" collapsed="false">
      <c r="A16" s="20" t="s">
        <v>78</v>
      </c>
      <c r="B16" s="21" t="s">
        <v>79</v>
      </c>
      <c r="C16" s="9" t="n">
        <f aca="false">'Start Here'!$B$12+0</f>
        <v>46307</v>
      </c>
      <c r="D16" s="9" t="n">
        <f aca="false">'Start Here'!$B$12+90</f>
        <v>46397</v>
      </c>
      <c r="E16" s="10" t="n">
        <f aca="true">IF(F16="Done","",D16-TODAY())</f>
        <v>95</v>
      </c>
      <c r="F16" s="6" t="s">
        <v>59</v>
      </c>
      <c r="G16" s="7"/>
      <c r="H16" s="6"/>
      <c r="I16" s="6"/>
    </row>
    <row r="17" customFormat="false" ht="42" hidden="false" customHeight="true" outlineLevel="0" collapsed="false">
      <c r="A17" s="20" t="s">
        <v>80</v>
      </c>
      <c r="B17" s="21" t="s">
        <v>81</v>
      </c>
      <c r="C17" s="9" t="n">
        <f aca="false">'Start Here'!$B$12+91</f>
        <v>46398</v>
      </c>
      <c r="D17" s="9" t="n">
        <f aca="false">'Start Here'!$B$12+97</f>
        <v>46404</v>
      </c>
      <c r="E17" s="10" t="n">
        <f aca="true">IF(F17="Done","",D17-TODAY())</f>
        <v>102</v>
      </c>
      <c r="F17" s="6" t="s">
        <v>59</v>
      </c>
      <c r="G17" s="7"/>
      <c r="H17" s="6"/>
      <c r="I17" s="6"/>
    </row>
    <row r="18" customFormat="false" ht="30" hidden="false" customHeight="true" outlineLevel="0" collapsed="false">
      <c r="A18" s="20" t="s">
        <v>82</v>
      </c>
      <c r="B18" s="21" t="s">
        <v>83</v>
      </c>
      <c r="C18" s="9" t="n">
        <f aca="false">'Start Here'!$B$12+14</f>
        <v>46321</v>
      </c>
      <c r="D18" s="9" t="n">
        <f aca="false">'Start Here'!$B$12+41</f>
        <v>46348</v>
      </c>
      <c r="E18" s="10" t="n">
        <f aca="true">IF(F18="Done","",D18-TODAY())</f>
        <v>46</v>
      </c>
      <c r="F18" s="6" t="s">
        <v>59</v>
      </c>
      <c r="G18" s="7"/>
      <c r="H18" s="6"/>
      <c r="I18" s="6"/>
    </row>
    <row r="19" customFormat="false" ht="42" hidden="false" customHeight="true" outlineLevel="0" collapsed="false">
      <c r="A19" s="20" t="s">
        <v>84</v>
      </c>
      <c r="B19" s="21" t="s">
        <v>85</v>
      </c>
      <c r="C19" s="9" t="n">
        <f aca="false">'Start Here'!$B$12+21</f>
        <v>46328</v>
      </c>
      <c r="D19" s="9" t="n">
        <f aca="false">'Start Here'!$B$12+48</f>
        <v>46355</v>
      </c>
      <c r="E19" s="10" t="n">
        <f aca="true">IF(F19="Done","",D19-TODAY())</f>
        <v>53</v>
      </c>
      <c r="F19" s="6" t="s">
        <v>59</v>
      </c>
      <c r="G19" s="7"/>
      <c r="H19" s="6"/>
      <c r="I19" s="6"/>
    </row>
    <row r="20" customFormat="false" ht="42" hidden="false" customHeight="true" outlineLevel="0" collapsed="false">
      <c r="A20" s="20" t="s">
        <v>86</v>
      </c>
      <c r="B20" s="21" t="s">
        <v>87</v>
      </c>
      <c r="C20" s="9" t="n">
        <f aca="false">'Start Here'!$B$12+28</f>
        <v>46335</v>
      </c>
      <c r="D20" s="9" t="n">
        <f aca="false">'Start Here'!$B$12+55</f>
        <v>46362</v>
      </c>
      <c r="E20" s="10" t="n">
        <f aca="true">IF(F20="Done","",D20-TODAY())</f>
        <v>60</v>
      </c>
      <c r="F20" s="6" t="s">
        <v>59</v>
      </c>
      <c r="G20" s="7"/>
      <c r="H20" s="6"/>
      <c r="I20" s="6"/>
    </row>
    <row r="21" customFormat="false" ht="42" hidden="false" customHeight="true" outlineLevel="0" collapsed="false">
      <c r="A21" s="20" t="s">
        <v>88</v>
      </c>
      <c r="B21" s="21" t="s">
        <v>89</v>
      </c>
      <c r="C21" s="9" t="n">
        <f aca="false">'Start Here'!$B$12+35</f>
        <v>46342</v>
      </c>
      <c r="D21" s="9" t="n">
        <f aca="false">'Start Here'!$B$12+62</f>
        <v>46369</v>
      </c>
      <c r="E21" s="10" t="n">
        <f aca="true">IF(F21="Done","",D21-TODAY())</f>
        <v>67</v>
      </c>
      <c r="F21" s="6" t="s">
        <v>59</v>
      </c>
      <c r="G21" s="7"/>
      <c r="H21" s="6"/>
      <c r="I21" s="6"/>
    </row>
    <row r="22" customFormat="false" ht="42" hidden="false" customHeight="true" outlineLevel="0" collapsed="false">
      <c r="A22" s="20" t="s">
        <v>90</v>
      </c>
      <c r="B22" s="21" t="s">
        <v>91</v>
      </c>
      <c r="C22" s="9" t="n">
        <f aca="false">'Start Here'!$B$12+42</f>
        <v>46349</v>
      </c>
      <c r="D22" s="9" t="n">
        <f aca="false">'Start Here'!$B$12+69</f>
        <v>46376</v>
      </c>
      <c r="E22" s="10" t="n">
        <f aca="true">IF(F22="Done","",D22-TODAY())</f>
        <v>74</v>
      </c>
      <c r="F22" s="6" t="s">
        <v>59</v>
      </c>
      <c r="G22" s="7"/>
      <c r="H22" s="6"/>
      <c r="I22" s="6"/>
    </row>
    <row r="23" customFormat="false" ht="42" hidden="false" customHeight="true" outlineLevel="0" collapsed="false">
      <c r="A23" s="20" t="s">
        <v>92</v>
      </c>
      <c r="B23" s="21" t="s">
        <v>93</v>
      </c>
      <c r="C23" s="9" t="n">
        <f aca="false">'Start Here'!$B$12+28</f>
        <v>46335</v>
      </c>
      <c r="D23" s="9" t="n">
        <f aca="false">'Start Here'!$B$12+34</f>
        <v>46341</v>
      </c>
      <c r="E23" s="10" t="n">
        <f aca="true">IF(F23="Done","",D23-TODAY())</f>
        <v>39</v>
      </c>
      <c r="F23" s="6" t="s">
        <v>59</v>
      </c>
      <c r="G23" s="7"/>
      <c r="H23" s="6"/>
      <c r="I23" s="6"/>
    </row>
    <row r="24" customFormat="false" ht="42" hidden="false" customHeight="true" outlineLevel="0" collapsed="false">
      <c r="A24" s="20" t="s">
        <v>94</v>
      </c>
      <c r="B24" s="21" t="s">
        <v>95</v>
      </c>
      <c r="C24" s="9" t="n">
        <f aca="false">'Start Here'!$B$12+28</f>
        <v>46335</v>
      </c>
      <c r="D24" s="9" t="n">
        <f aca="false">'Start Here'!$B$12+34</f>
        <v>46341</v>
      </c>
      <c r="E24" s="10" t="n">
        <f aca="true">IF(F24="Done","",D24-TODAY())</f>
        <v>39</v>
      </c>
      <c r="F24" s="6" t="s">
        <v>59</v>
      </c>
      <c r="G24" s="7"/>
      <c r="H24" s="6"/>
      <c r="I24" s="6"/>
    </row>
    <row r="25" customFormat="false" ht="42" hidden="false" customHeight="true" outlineLevel="0" collapsed="false">
      <c r="A25" s="20" t="s">
        <v>96</v>
      </c>
      <c r="B25" s="21" t="s">
        <v>97</v>
      </c>
      <c r="C25" s="9" t="n">
        <f aca="false">'Start Here'!$B$12+35</f>
        <v>46342</v>
      </c>
      <c r="D25" s="9" t="n">
        <f aca="false">'Start Here'!$B$12+41</f>
        <v>46348</v>
      </c>
      <c r="E25" s="10" t="n">
        <f aca="true">IF(F25="Done","",D25-TODAY())</f>
        <v>46</v>
      </c>
      <c r="F25" s="6" t="s">
        <v>59</v>
      </c>
      <c r="G25" s="7"/>
      <c r="H25" s="6"/>
      <c r="I25" s="6"/>
    </row>
    <row r="26" customFormat="false" ht="42" hidden="false" customHeight="true" outlineLevel="0" collapsed="false">
      <c r="A26" s="20" t="s">
        <v>98</v>
      </c>
      <c r="B26" s="21" t="s">
        <v>99</v>
      </c>
      <c r="C26" s="9" t="n">
        <f aca="false">'Start Here'!$B$12+42</f>
        <v>46349</v>
      </c>
      <c r="D26" s="9" t="n">
        <f aca="false">'Start Here'!$B$12+48</f>
        <v>46355</v>
      </c>
      <c r="E26" s="10" t="n">
        <f aca="true">IF(F26="Done","",D26-TODAY())</f>
        <v>53</v>
      </c>
      <c r="F26" s="6" t="s">
        <v>59</v>
      </c>
      <c r="G26" s="7"/>
      <c r="H26" s="6"/>
      <c r="I26" s="6"/>
    </row>
    <row r="27" customFormat="false" ht="42" hidden="false" customHeight="true" outlineLevel="0" collapsed="false">
      <c r="A27" s="20" t="s">
        <v>100</v>
      </c>
      <c r="B27" s="21" t="s">
        <v>101</v>
      </c>
      <c r="C27" s="9" t="n">
        <f aca="false">'Start Here'!$B$12+49</f>
        <v>46356</v>
      </c>
      <c r="D27" s="9" t="n">
        <f aca="false">'Start Here'!$B$12+69</f>
        <v>46376</v>
      </c>
      <c r="E27" s="10" t="n">
        <f aca="true">IF(F27="Done","",D27-TODAY())</f>
        <v>74</v>
      </c>
      <c r="F27" s="6" t="s">
        <v>59</v>
      </c>
      <c r="G27" s="7"/>
      <c r="H27" s="6"/>
      <c r="I27" s="6"/>
    </row>
    <row r="28" customFormat="false" ht="42" hidden="false" customHeight="true" outlineLevel="0" collapsed="false">
      <c r="A28" s="20" t="s">
        <v>102</v>
      </c>
      <c r="B28" s="21" t="s">
        <v>103</v>
      </c>
      <c r="C28" s="9" t="n">
        <f aca="false">'Start Here'!$B$12+63</f>
        <v>46370</v>
      </c>
      <c r="D28" s="9" t="n">
        <f aca="false">'Start Here'!$B$12+83</f>
        <v>46390</v>
      </c>
      <c r="E28" s="10" t="n">
        <f aca="true">IF(F28="Done","",D28-TODAY())</f>
        <v>88</v>
      </c>
      <c r="F28" s="6" t="s">
        <v>59</v>
      </c>
      <c r="G28" s="7"/>
      <c r="H28" s="6"/>
      <c r="I28" s="6"/>
    </row>
    <row r="29" customFormat="false" ht="30" hidden="false" customHeight="true" outlineLevel="0" collapsed="false">
      <c r="A29" s="20" t="s">
        <v>104</v>
      </c>
      <c r="B29" s="21" t="s">
        <v>105</v>
      </c>
      <c r="C29" s="9" t="n">
        <f aca="false">'Start Here'!$B$12+91</f>
        <v>46398</v>
      </c>
      <c r="D29" s="9" t="n">
        <f aca="false">'Start Here'!$B$12+104</f>
        <v>46411</v>
      </c>
      <c r="E29" s="10" t="n">
        <f aca="true">IF(F29="Done","",D29-TODAY())</f>
        <v>109</v>
      </c>
      <c r="F29" s="6" t="s">
        <v>59</v>
      </c>
      <c r="G29" s="7"/>
      <c r="H29" s="6"/>
      <c r="I29" s="6"/>
    </row>
    <row r="31" customFormat="false" ht="15" hidden="false" customHeight="false" outlineLevel="0" collapsed="false">
      <c r="A31" s="2" t="s">
        <v>106</v>
      </c>
    </row>
  </sheetData>
  <conditionalFormatting sqref="A6:I29">
    <cfRule type="expression" priority="2" aboveAverage="0" equalAverage="0" bottom="0" percent="0" rank="0" text="" dxfId="0">
      <formula>$F6="Done"</formula>
    </cfRule>
  </conditionalFormatting>
  <conditionalFormatting sqref="E6:E29">
    <cfRule type="expression" priority="3" aboveAverage="0" equalAverage="0" bottom="0" percent="0" rank="0" text="" dxfId="1">
      <formula>AND($F6&lt;&gt;"Done",$E6&lt;0)</formula>
    </cfRule>
  </conditionalFormatting>
  <dataValidations count="1">
    <dataValidation allowBlank="true" errorStyle="stop" operator="between" showDropDown="false" showErrorMessage="false" showInputMessage="false" sqref="F6:F29"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5" min="3" style="0" width="18"/>
    <col collapsed="false" customWidth="true" hidden="false" outlineLevel="0" max="6" min="6" style="0" width="40"/>
  </cols>
  <sheetData>
    <row r="1" customFormat="false" ht="19.7" hidden="false" customHeight="false" outlineLevel="0" collapsed="false">
      <c r="A1" s="1" t="s">
        <v>107</v>
      </c>
    </row>
    <row r="2" customFormat="false" ht="15" hidden="false" customHeight="false" outlineLevel="0" collapsed="false">
      <c r="A2" s="2" t="s">
        <v>108</v>
      </c>
    </row>
    <row r="4" customFormat="false" ht="15" hidden="false" customHeight="false" outlineLevel="0" collapsed="false">
      <c r="A4" s="3" t="s">
        <v>109</v>
      </c>
      <c r="B4" s="4"/>
      <c r="C4" s="4"/>
      <c r="D4" s="4"/>
      <c r="E4" s="4"/>
      <c r="F4" s="4"/>
    </row>
    <row r="5" customFormat="false" ht="15" hidden="false" customHeight="false" outlineLevel="0" collapsed="false">
      <c r="A5" s="5" t="s">
        <v>110</v>
      </c>
      <c r="B5" s="6"/>
      <c r="C5" s="6"/>
      <c r="D5" s="6"/>
      <c r="E5" s="6"/>
      <c r="F5" s="6"/>
    </row>
    <row r="6" customFormat="false" ht="15" hidden="false" customHeight="false" outlineLevel="0" collapsed="false">
      <c r="A6" s="5" t="s">
        <v>111</v>
      </c>
      <c r="B6" s="6"/>
      <c r="C6" s="6"/>
      <c r="D6" s="6"/>
      <c r="E6" s="6"/>
      <c r="F6" s="6"/>
    </row>
    <row r="7" customFormat="false" ht="15" hidden="false" customHeight="false" outlineLevel="0" collapsed="false">
      <c r="A7" s="5" t="s">
        <v>112</v>
      </c>
      <c r="B7" s="22" t="n">
        <f aca="false">B35</f>
        <v>849</v>
      </c>
    </row>
    <row r="9" customFormat="false" ht="15" hidden="false" customHeight="false" outlineLevel="0" collapsed="false">
      <c r="A9" s="3" t="s">
        <v>113</v>
      </c>
      <c r="B9" s="4"/>
      <c r="C9" s="4"/>
      <c r="D9" s="4"/>
      <c r="E9" s="4"/>
      <c r="F9" s="4"/>
    </row>
    <row r="10" customFormat="false" ht="15" hidden="false" customHeight="false" outlineLevel="0" collapsed="false">
      <c r="A10" s="5" t="s">
        <v>114</v>
      </c>
      <c r="B10" s="23" t="n">
        <v>0</v>
      </c>
    </row>
    <row r="11" customFormat="false" ht="15" hidden="false" customHeight="false" outlineLevel="0" collapsed="false">
      <c r="A11" s="5" t="s">
        <v>115</v>
      </c>
      <c r="B11" s="23" t="n">
        <v>0</v>
      </c>
    </row>
    <row r="12" customFormat="false" ht="15" hidden="false" customHeight="false" outlineLevel="0" collapsed="false">
      <c r="A12" s="5" t="s">
        <v>116</v>
      </c>
      <c r="B12" s="24" t="n">
        <f aca="false">MAX(0,B7-B10)</f>
        <v>849</v>
      </c>
    </row>
    <row r="13" customFormat="false" ht="15" hidden="false" customHeight="false" outlineLevel="0" collapsed="false">
      <c r="A13" s="5" t="s">
        <v>117</v>
      </c>
      <c r="B13" s="10" t="str">
        <f aca="false">IF(B11&gt;0,ROUNDUP(B12/B11,0),"Enter monthly savings")</f>
        <v>Enter monthly savings</v>
      </c>
    </row>
    <row r="14" customFormat="false" ht="15" hidden="false" customHeight="false" outlineLevel="0" collapsed="false">
      <c r="A14" s="5" t="s">
        <v>118</v>
      </c>
      <c r="B14" s="9" t="str">
        <f aca="false">IF(ISNUMBER(B13),EDATE('Start Here'!$B$12,B13),"")</f>
        <v/>
      </c>
    </row>
    <row r="15" customFormat="false" ht="15" hidden="false" customHeight="false" outlineLevel="0" collapsed="false">
      <c r="A15" s="5" t="s">
        <v>119</v>
      </c>
      <c r="B15" s="6"/>
      <c r="C15" s="6"/>
      <c r="D15" s="6"/>
      <c r="E15" s="6"/>
      <c r="F15" s="6"/>
    </row>
    <row r="17" customFormat="false" ht="15" hidden="false" customHeight="false" outlineLevel="0" collapsed="false">
      <c r="A17" s="19" t="s">
        <v>120</v>
      </c>
      <c r="B17" s="19" t="s">
        <v>121</v>
      </c>
      <c r="C17" s="19" t="s">
        <v>122</v>
      </c>
      <c r="D17" s="19"/>
      <c r="E17" s="19"/>
      <c r="F17" s="19" t="s">
        <v>123</v>
      </c>
    </row>
    <row r="18" customFormat="false" ht="30" hidden="false" customHeight="true" outlineLevel="0" collapsed="false">
      <c r="A18" s="5" t="s">
        <v>124</v>
      </c>
      <c r="B18" s="6"/>
      <c r="C18" s="7"/>
      <c r="F18" s="6"/>
    </row>
    <row r="19" customFormat="false" ht="30" hidden="false" customHeight="true" outlineLevel="0" collapsed="false">
      <c r="A19" s="5" t="s">
        <v>125</v>
      </c>
      <c r="B19" s="6"/>
      <c r="C19" s="7"/>
      <c r="F19" s="6"/>
    </row>
    <row r="20" customFormat="false" ht="30" hidden="false" customHeight="true" outlineLevel="0" collapsed="false">
      <c r="A20" s="5" t="s">
        <v>126</v>
      </c>
      <c r="B20" s="6"/>
      <c r="C20" s="7"/>
      <c r="F20" s="6"/>
    </row>
    <row r="22" customFormat="false" ht="15" hidden="false" customHeight="false" outlineLevel="0" collapsed="false">
      <c r="A22" s="3" t="s">
        <v>127</v>
      </c>
      <c r="B22" s="4"/>
      <c r="C22" s="4"/>
      <c r="D22" s="4"/>
      <c r="E22" s="4"/>
      <c r="F22" s="4"/>
    </row>
    <row r="23" customFormat="false" ht="26.85" hidden="false" customHeight="false" outlineLevel="0" collapsed="false">
      <c r="A23" s="19" t="s">
        <v>128</v>
      </c>
      <c r="B23" s="19" t="s">
        <v>129</v>
      </c>
      <c r="C23" s="19" t="s">
        <v>130</v>
      </c>
      <c r="D23" s="19" t="s">
        <v>131</v>
      </c>
      <c r="E23" s="19"/>
      <c r="F23" s="19" t="s">
        <v>132</v>
      </c>
    </row>
    <row r="24" customFormat="false" ht="15" hidden="false" customHeight="false" outlineLevel="0" collapsed="false">
      <c r="A24" s="6" t="s">
        <v>133</v>
      </c>
      <c r="B24" s="6" t="s">
        <v>134</v>
      </c>
      <c r="C24" s="6" t="s">
        <v>135</v>
      </c>
      <c r="D24" s="6" t="s">
        <v>136</v>
      </c>
      <c r="E24" s="6"/>
      <c r="F24" s="6" t="s">
        <v>137</v>
      </c>
    </row>
    <row r="25" customFormat="false" ht="15" hidden="false" customHeight="false" outlineLevel="0" collapsed="false">
      <c r="A25" s="6"/>
      <c r="B25" s="6"/>
      <c r="C25" s="6"/>
      <c r="D25" s="6"/>
      <c r="F25" s="6"/>
    </row>
    <row r="26" customFormat="false" ht="15" hidden="false" customHeight="false" outlineLevel="0" collapsed="false">
      <c r="A26" s="6"/>
      <c r="B26" s="6"/>
      <c r="C26" s="6"/>
      <c r="D26" s="6"/>
      <c r="F26" s="6"/>
    </row>
    <row r="27" customFormat="false" ht="15" hidden="false" customHeight="false" outlineLevel="0" collapsed="false">
      <c r="A27" s="6"/>
      <c r="B27" s="6"/>
      <c r="C27" s="6"/>
      <c r="D27" s="6"/>
      <c r="F27" s="6"/>
    </row>
    <row r="29" customFormat="false" ht="15" hidden="false" customHeight="false" outlineLevel="0" collapsed="false">
      <c r="A29" s="3" t="s">
        <v>138</v>
      </c>
      <c r="B29" s="4"/>
      <c r="C29" s="4"/>
      <c r="D29" s="4"/>
      <c r="E29" s="4"/>
      <c r="F29" s="4"/>
    </row>
    <row r="30" customFormat="false" ht="15" hidden="false" customHeight="false" outlineLevel="0" collapsed="false">
      <c r="A30" s="19" t="s">
        <v>139</v>
      </c>
      <c r="B30" s="19" t="s">
        <v>140</v>
      </c>
      <c r="C30" s="19" t="s">
        <v>141</v>
      </c>
      <c r="D30" s="19" t="s">
        <v>142</v>
      </c>
      <c r="E30" s="19" t="s">
        <v>143</v>
      </c>
      <c r="F30" s="19" t="s">
        <v>144</v>
      </c>
    </row>
    <row r="31" customFormat="false" ht="15" hidden="false" customHeight="false" outlineLevel="0" collapsed="false">
      <c r="A31" s="6" t="s">
        <v>145</v>
      </c>
      <c r="B31" s="23" t="n">
        <v>899</v>
      </c>
      <c r="C31" s="6" t="s">
        <v>146</v>
      </c>
      <c r="D31" s="23" t="n">
        <v>50</v>
      </c>
      <c r="E31" s="24" t="n">
        <f aca="false">IF(B31="","",B31-N(D31))</f>
        <v>849</v>
      </c>
      <c r="F31" s="6" t="s">
        <v>147</v>
      </c>
    </row>
    <row r="32" customFormat="false" ht="15" hidden="false" customHeight="false" outlineLevel="0" collapsed="false">
      <c r="A32" s="6"/>
      <c r="B32" s="23"/>
      <c r="C32" s="6"/>
      <c r="D32" s="23"/>
      <c r="E32" s="24" t="str">
        <f aca="false">IF(B32="","",B32-N(D32))</f>
        <v/>
      </c>
      <c r="F32" s="6"/>
    </row>
    <row r="33" customFormat="false" ht="15" hidden="false" customHeight="false" outlineLevel="0" collapsed="false">
      <c r="A33" s="6"/>
      <c r="B33" s="23"/>
      <c r="C33" s="6"/>
      <c r="D33" s="23"/>
      <c r="E33" s="24" t="str">
        <f aca="false">IF(B33="","",B33-N(D33))</f>
        <v/>
      </c>
      <c r="F33" s="6"/>
    </row>
    <row r="34" customFormat="false" ht="15" hidden="false" customHeight="false" outlineLevel="0" collapsed="false">
      <c r="A34" s="6"/>
      <c r="B34" s="23"/>
      <c r="C34" s="6"/>
      <c r="D34" s="23"/>
      <c r="E34" s="24" t="str">
        <f aca="false">IF(B34="","",B34-N(D34))</f>
        <v/>
      </c>
      <c r="F34" s="6"/>
    </row>
    <row r="35" customFormat="false" ht="15" hidden="false" customHeight="false" outlineLevel="0" collapsed="false">
      <c r="A35" s="5" t="s">
        <v>148</v>
      </c>
      <c r="B35" s="22" t="n">
        <f aca="false">IF(COUNT(E31:E34)=0,0,MIN(E31:E34))</f>
        <v>849</v>
      </c>
    </row>
    <row r="36" customFormat="false" ht="15" hidden="false" customHeight="false" outlineLevel="0" collapsed="false">
      <c r="A36" s="5" t="s">
        <v>149</v>
      </c>
      <c r="B36" s="20" t="str">
        <f aca="false">IF(B35=0,"",INDEX(A31:A34,MATCH(B35,E31:E34,0)))</f>
        <v>Example: Best Buy</v>
      </c>
    </row>
    <row r="37" customFormat="false" ht="15" hidden="false" customHeight="false" outlineLevel="0" collapsed="false">
      <c r="A37" s="5" t="s">
        <v>150</v>
      </c>
      <c r="B37" s="21" t="str">
        <f aca="false">COUNT(E31:E34)&amp;IF(COUNT(E31:E34)&gt;=2," ✓ meets 2-source minimum"," — need at least 2")</f>
        <v>1 — need at least 2</v>
      </c>
      <c r="C37" s="21"/>
      <c r="D37" s="21"/>
    </row>
    <row r="39" customFormat="false" ht="79.5" hidden="false" customHeight="true" outlineLevel="0" collapsed="false">
      <c r="A39" s="5" t="s">
        <v>151</v>
      </c>
      <c r="B39" s="6"/>
      <c r="C39" s="6"/>
      <c r="D39" s="6"/>
      <c r="E39" s="6"/>
      <c r="F39" s="6"/>
    </row>
  </sheetData>
  <mergeCells count="5">
    <mergeCell ref="B5:F5"/>
    <mergeCell ref="B6:F6"/>
    <mergeCell ref="B15:F15"/>
    <mergeCell ref="B37:D37"/>
    <mergeCell ref="B39:F39"/>
  </mergeCells>
  <dataValidations count="1">
    <dataValidation allowBlank="true" errorStyle="stop" operator="between" showDropDown="false" showErrorMessage="false" showInputMessage="false" sqref="B18:B2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O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4" min="2" style="0" width="11.5"/>
    <col collapsed="false" customWidth="true" hidden="false" outlineLevel="0" max="15" min="15" style="0" width="13"/>
  </cols>
  <sheetData>
    <row r="1" customFormat="false" ht="19.7" hidden="false" customHeight="false" outlineLevel="0" collapsed="false">
      <c r="A1" s="1" t="s">
        <v>152</v>
      </c>
    </row>
    <row r="2" customFormat="false" ht="15" hidden="false" customHeight="false" outlineLevel="0" collapsed="false">
      <c r="A2" s="2" t="s">
        <v>153</v>
      </c>
    </row>
    <row r="4" customFormat="false" ht="15" hidden="false" customHeight="false" outlineLevel="0" collapsed="false">
      <c r="A4" s="19" t="s">
        <v>154</v>
      </c>
      <c r="B4" s="19" t="s">
        <v>155</v>
      </c>
      <c r="C4" s="19" t="s">
        <v>156</v>
      </c>
      <c r="D4" s="19" t="s">
        <v>157</v>
      </c>
      <c r="E4" s="19" t="s">
        <v>158</v>
      </c>
      <c r="F4" s="19" t="s">
        <v>159</v>
      </c>
      <c r="G4" s="19" t="s">
        <v>160</v>
      </c>
      <c r="H4" s="19" t="s">
        <v>161</v>
      </c>
      <c r="I4" s="19" t="s">
        <v>162</v>
      </c>
      <c r="J4" s="19" t="s">
        <v>163</v>
      </c>
      <c r="K4" s="19" t="s">
        <v>164</v>
      </c>
      <c r="L4" s="19" t="s">
        <v>165</v>
      </c>
      <c r="M4" s="19" t="s">
        <v>166</v>
      </c>
      <c r="N4" s="19" t="s">
        <v>167</v>
      </c>
      <c r="O4" s="19" t="s">
        <v>168</v>
      </c>
    </row>
    <row r="5" customFormat="false" ht="15" hidden="false" customHeight="false" outlineLevel="0" collapsed="false">
      <c r="A5" s="5" t="s">
        <v>169</v>
      </c>
      <c r="B5" s="25" t="n">
        <f aca="false">'Start Here'!$B$12+0</f>
        <v>46307</v>
      </c>
      <c r="C5" s="25" t="n">
        <f aca="false">'Start Here'!$B$12+7</f>
        <v>46314</v>
      </c>
      <c r="D5" s="25" t="n">
        <f aca="false">'Start Here'!$B$12+14</f>
        <v>46321</v>
      </c>
      <c r="E5" s="25" t="n">
        <f aca="false">'Start Here'!$B$12+21</f>
        <v>46328</v>
      </c>
      <c r="F5" s="25" t="n">
        <f aca="false">'Start Here'!$B$12+28</f>
        <v>46335</v>
      </c>
      <c r="G5" s="25" t="n">
        <f aca="false">'Start Here'!$B$12+35</f>
        <v>46342</v>
      </c>
      <c r="H5" s="25" t="n">
        <f aca="false">'Start Here'!$B$12+42</f>
        <v>46349</v>
      </c>
      <c r="I5" s="25" t="n">
        <f aca="false">'Start Here'!$B$12+49</f>
        <v>46356</v>
      </c>
      <c r="J5" s="25" t="n">
        <f aca="false">'Start Here'!$B$12+56</f>
        <v>46363</v>
      </c>
      <c r="K5" s="25" t="n">
        <f aca="false">'Start Here'!$B$12+63</f>
        <v>46370</v>
      </c>
      <c r="L5" s="25" t="n">
        <f aca="false">'Start Here'!$B$12+70</f>
        <v>46377</v>
      </c>
      <c r="M5" s="25" t="n">
        <f aca="false">'Start Here'!$B$12+77</f>
        <v>46384</v>
      </c>
      <c r="N5" s="25" t="n">
        <f aca="false">'Start Here'!$B$12+84</f>
        <v>46391</v>
      </c>
    </row>
    <row r="6" customFormat="false" ht="15" hidden="false" customHeight="false" outlineLevel="0" collapsed="false">
      <c r="A6" s="5" t="s">
        <v>170</v>
      </c>
      <c r="B6" s="25" t="n">
        <f aca="false">B5+6</f>
        <v>46313</v>
      </c>
      <c r="C6" s="25" t="n">
        <f aca="false">C5+6</f>
        <v>46320</v>
      </c>
      <c r="D6" s="25" t="n">
        <f aca="false">D5+6</f>
        <v>46327</v>
      </c>
      <c r="E6" s="25" t="n">
        <f aca="false">E5+6</f>
        <v>46334</v>
      </c>
      <c r="F6" s="25" t="n">
        <f aca="false">F5+6</f>
        <v>46341</v>
      </c>
      <c r="G6" s="25" t="n">
        <f aca="false">G5+6</f>
        <v>46348</v>
      </c>
      <c r="H6" s="25" t="n">
        <f aca="false">H5+6</f>
        <v>46355</v>
      </c>
      <c r="I6" s="25" t="n">
        <f aca="false">I5+6</f>
        <v>46362</v>
      </c>
      <c r="J6" s="25" t="n">
        <f aca="false">J5+6</f>
        <v>46369</v>
      </c>
      <c r="K6" s="25" t="n">
        <f aca="false">K5+6</f>
        <v>46376</v>
      </c>
      <c r="L6" s="25" t="n">
        <f aca="false">L5+6</f>
        <v>46383</v>
      </c>
      <c r="M6" s="25" t="n">
        <f aca="false">M5+6</f>
        <v>46390</v>
      </c>
      <c r="N6" s="25" t="n">
        <f aca="false">N5+6</f>
        <v>46397</v>
      </c>
    </row>
    <row r="7" customFormat="false" ht="15" hidden="false" customHeight="false" outlineLevel="0" collapsed="false">
      <c r="A7" s="3" t="s">
        <v>171</v>
      </c>
      <c r="B7" s="4"/>
      <c r="C7" s="4"/>
      <c r="D7" s="4"/>
      <c r="E7" s="4"/>
      <c r="F7" s="4"/>
      <c r="G7" s="4"/>
      <c r="H7" s="4"/>
      <c r="I7" s="4"/>
      <c r="J7" s="4"/>
      <c r="K7" s="4"/>
      <c r="L7" s="4"/>
      <c r="M7" s="4"/>
      <c r="N7" s="4"/>
      <c r="O7" s="4"/>
    </row>
    <row r="8" customFormat="false" ht="15" hidden="false" customHeight="false" outlineLevel="0" collapsed="false">
      <c r="A8" s="26" t="s">
        <v>172</v>
      </c>
      <c r="B8" s="23" t="n">
        <v>20</v>
      </c>
      <c r="C8" s="23"/>
      <c r="D8" s="23"/>
      <c r="E8" s="23"/>
      <c r="F8" s="23"/>
      <c r="G8" s="23"/>
      <c r="H8" s="23"/>
      <c r="I8" s="23"/>
      <c r="J8" s="23"/>
      <c r="K8" s="23"/>
      <c r="L8" s="23"/>
      <c r="M8" s="23"/>
      <c r="N8" s="23"/>
      <c r="O8" s="27" t="n">
        <f aca="false">SUM(B8:N8)</f>
        <v>20</v>
      </c>
    </row>
    <row r="9" customFormat="false" ht="15" hidden="false" customHeight="false" outlineLevel="0" collapsed="false">
      <c r="A9" s="26" t="s">
        <v>173</v>
      </c>
      <c r="B9" s="23"/>
      <c r="C9" s="23"/>
      <c r="D9" s="23"/>
      <c r="E9" s="23"/>
      <c r="F9" s="23"/>
      <c r="G9" s="23"/>
      <c r="H9" s="23"/>
      <c r="I9" s="23"/>
      <c r="J9" s="23"/>
      <c r="K9" s="23"/>
      <c r="L9" s="23"/>
      <c r="M9" s="23"/>
      <c r="N9" s="23"/>
      <c r="O9" s="27" t="n">
        <f aca="false">SUM(B9:N9)</f>
        <v>0</v>
      </c>
    </row>
    <row r="10" customFormat="false" ht="15" hidden="false" customHeight="false" outlineLevel="0" collapsed="false">
      <c r="A10" s="26" t="s">
        <v>174</v>
      </c>
      <c r="B10" s="23" t="n">
        <v>60</v>
      </c>
      <c r="C10" s="23"/>
      <c r="D10" s="23"/>
      <c r="E10" s="23"/>
      <c r="F10" s="23"/>
      <c r="G10" s="23"/>
      <c r="H10" s="23"/>
      <c r="I10" s="23"/>
      <c r="J10" s="23"/>
      <c r="K10" s="23"/>
      <c r="L10" s="23"/>
      <c r="M10" s="23"/>
      <c r="N10" s="23"/>
      <c r="O10" s="27" t="n">
        <f aca="false">SUM(B10:N10)</f>
        <v>60</v>
      </c>
    </row>
    <row r="11" customFormat="false" ht="15" hidden="false" customHeight="false" outlineLevel="0" collapsed="false">
      <c r="A11" s="26" t="s">
        <v>175</v>
      </c>
      <c r="B11" s="23"/>
      <c r="C11" s="23"/>
      <c r="D11" s="23"/>
      <c r="E11" s="23"/>
      <c r="F11" s="23"/>
      <c r="G11" s="23"/>
      <c r="H11" s="23"/>
      <c r="I11" s="23"/>
      <c r="J11" s="23"/>
      <c r="K11" s="23"/>
      <c r="L11" s="23"/>
      <c r="M11" s="23"/>
      <c r="N11" s="23"/>
      <c r="O11" s="27" t="n">
        <f aca="false">SUM(B11:N11)</f>
        <v>0</v>
      </c>
    </row>
    <row r="12" customFormat="false" ht="15" hidden="false" customHeight="false" outlineLevel="0" collapsed="false">
      <c r="A12" s="5" t="s">
        <v>176</v>
      </c>
      <c r="B12" s="22" t="n">
        <f aca="false">SUM(B8:B11)</f>
        <v>80</v>
      </c>
      <c r="C12" s="22" t="n">
        <f aca="false">SUM(C8:C11)</f>
        <v>0</v>
      </c>
      <c r="D12" s="22" t="n">
        <f aca="false">SUM(D8:D11)</f>
        <v>0</v>
      </c>
      <c r="E12" s="22" t="n">
        <f aca="false">SUM(E8:E11)</f>
        <v>0</v>
      </c>
      <c r="F12" s="22" t="n">
        <f aca="false">SUM(F8:F11)</f>
        <v>0</v>
      </c>
      <c r="G12" s="22" t="n">
        <f aca="false">SUM(G8:G11)</f>
        <v>0</v>
      </c>
      <c r="H12" s="22" t="n">
        <f aca="false">SUM(H8:H11)</f>
        <v>0</v>
      </c>
      <c r="I12" s="22" t="n">
        <f aca="false">SUM(I8:I11)</f>
        <v>0</v>
      </c>
      <c r="J12" s="22" t="n">
        <f aca="false">SUM(J8:J11)</f>
        <v>0</v>
      </c>
      <c r="K12" s="22" t="n">
        <f aca="false">SUM(K8:K11)</f>
        <v>0</v>
      </c>
      <c r="L12" s="22" t="n">
        <f aca="false">SUM(L8:L11)</f>
        <v>0</v>
      </c>
      <c r="M12" s="22" t="n">
        <f aca="false">SUM(M8:M11)</f>
        <v>0</v>
      </c>
      <c r="N12" s="22" t="n">
        <f aca="false">SUM(N8:N11)</f>
        <v>0</v>
      </c>
      <c r="O12" s="22" t="n">
        <f aca="false">SUM(O8:O11)</f>
        <v>80</v>
      </c>
    </row>
    <row r="14" customFormat="false" ht="15" hidden="false" customHeight="false" outlineLevel="0" collapsed="false">
      <c r="A14" s="3" t="s">
        <v>177</v>
      </c>
      <c r="B14" s="4"/>
      <c r="C14" s="4"/>
      <c r="D14" s="4"/>
      <c r="E14" s="4"/>
      <c r="F14" s="4"/>
      <c r="G14" s="4"/>
      <c r="H14" s="4"/>
      <c r="I14" s="4"/>
      <c r="J14" s="4"/>
      <c r="K14" s="4"/>
      <c r="L14" s="4"/>
      <c r="M14" s="4"/>
      <c r="N14" s="4"/>
      <c r="O14" s="4"/>
    </row>
    <row r="15" customFormat="false" ht="15" hidden="false" customHeight="false" outlineLevel="0" collapsed="false">
      <c r="A15" s="26" t="s">
        <v>178</v>
      </c>
      <c r="B15" s="23" t="n">
        <v>15</v>
      </c>
      <c r="C15" s="23"/>
      <c r="D15" s="23"/>
      <c r="E15" s="23"/>
      <c r="F15" s="23"/>
      <c r="G15" s="23"/>
      <c r="H15" s="23"/>
      <c r="I15" s="23"/>
      <c r="J15" s="23"/>
      <c r="K15" s="23"/>
      <c r="L15" s="23"/>
      <c r="M15" s="23"/>
      <c r="N15" s="23"/>
      <c r="O15" s="27" t="n">
        <f aca="false">SUM(B15:N15)</f>
        <v>15</v>
      </c>
    </row>
    <row r="16" customFormat="false" ht="15" hidden="false" customHeight="false" outlineLevel="0" collapsed="false">
      <c r="A16" s="26" t="s">
        <v>179</v>
      </c>
      <c r="B16" s="23" t="n">
        <v>15</v>
      </c>
      <c r="C16" s="23"/>
      <c r="D16" s="23"/>
      <c r="E16" s="23"/>
      <c r="F16" s="23"/>
      <c r="G16" s="23"/>
      <c r="H16" s="23"/>
      <c r="I16" s="23"/>
      <c r="J16" s="23"/>
      <c r="K16" s="23"/>
      <c r="L16" s="23"/>
      <c r="M16" s="23"/>
      <c r="N16" s="23"/>
      <c r="O16" s="27" t="n">
        <f aca="false">SUM(B16:N16)</f>
        <v>15</v>
      </c>
    </row>
    <row r="17" customFormat="false" ht="15" hidden="false" customHeight="false" outlineLevel="0" collapsed="false">
      <c r="A17" s="26" t="s">
        <v>180</v>
      </c>
      <c r="B17" s="23"/>
      <c r="C17" s="23"/>
      <c r="D17" s="23"/>
      <c r="E17" s="23"/>
      <c r="F17" s="23"/>
      <c r="G17" s="23"/>
      <c r="H17" s="23"/>
      <c r="I17" s="23"/>
      <c r="J17" s="23"/>
      <c r="K17" s="23"/>
      <c r="L17" s="23"/>
      <c r="M17" s="23"/>
      <c r="N17" s="23"/>
      <c r="O17" s="27" t="n">
        <f aca="false">SUM(B17:N17)</f>
        <v>0</v>
      </c>
    </row>
    <row r="18" customFormat="false" ht="15" hidden="false" customHeight="false" outlineLevel="0" collapsed="false">
      <c r="A18" s="26" t="s">
        <v>181</v>
      </c>
      <c r="B18" s="23" t="n">
        <v>10</v>
      </c>
      <c r="C18" s="23"/>
      <c r="D18" s="23"/>
      <c r="E18" s="23"/>
      <c r="F18" s="23"/>
      <c r="G18" s="23"/>
      <c r="H18" s="23"/>
      <c r="I18" s="23"/>
      <c r="J18" s="23"/>
      <c r="K18" s="23"/>
      <c r="L18" s="23"/>
      <c r="M18" s="23"/>
      <c r="N18" s="23"/>
      <c r="O18" s="27" t="n">
        <f aca="false">SUM(B18:N18)</f>
        <v>10</v>
      </c>
    </row>
    <row r="19" customFormat="false" ht="15" hidden="false" customHeight="false" outlineLevel="0" collapsed="false">
      <c r="A19" s="26" t="s">
        <v>182</v>
      </c>
      <c r="B19" s="23"/>
      <c r="C19" s="23"/>
      <c r="D19" s="23"/>
      <c r="E19" s="23"/>
      <c r="F19" s="23"/>
      <c r="G19" s="23"/>
      <c r="H19" s="23"/>
      <c r="I19" s="23"/>
      <c r="J19" s="23"/>
      <c r="K19" s="23"/>
      <c r="L19" s="23"/>
      <c r="M19" s="23"/>
      <c r="N19" s="23"/>
      <c r="O19" s="27" t="n">
        <f aca="false">SUM(B19:N19)</f>
        <v>0</v>
      </c>
    </row>
    <row r="20" customFormat="false" ht="15" hidden="false" customHeight="false" outlineLevel="0" collapsed="false">
      <c r="A20" s="26" t="s">
        <v>183</v>
      </c>
      <c r="B20" s="23"/>
      <c r="C20" s="23"/>
      <c r="D20" s="23"/>
      <c r="E20" s="23"/>
      <c r="F20" s="23"/>
      <c r="G20" s="23"/>
      <c r="H20" s="23"/>
      <c r="I20" s="23"/>
      <c r="J20" s="23"/>
      <c r="K20" s="23"/>
      <c r="L20" s="23"/>
      <c r="M20" s="23"/>
      <c r="N20" s="23"/>
      <c r="O20" s="27" t="n">
        <f aca="false">SUM(B20:N20)</f>
        <v>0</v>
      </c>
    </row>
    <row r="21" customFormat="false" ht="15" hidden="false" customHeight="false" outlineLevel="0" collapsed="false">
      <c r="A21" s="26" t="s">
        <v>184</v>
      </c>
      <c r="B21" s="23"/>
      <c r="C21" s="23"/>
      <c r="D21" s="23"/>
      <c r="E21" s="23"/>
      <c r="F21" s="23"/>
      <c r="G21" s="23"/>
      <c r="H21" s="23"/>
      <c r="I21" s="23"/>
      <c r="J21" s="23"/>
      <c r="K21" s="23"/>
      <c r="L21" s="23"/>
      <c r="M21" s="23"/>
      <c r="N21" s="23"/>
      <c r="O21" s="27" t="n">
        <f aca="false">SUM(B21:N21)</f>
        <v>0</v>
      </c>
    </row>
    <row r="22" customFormat="false" ht="15" hidden="false" customHeight="false" outlineLevel="0" collapsed="false">
      <c r="A22" s="26" t="s">
        <v>185</v>
      </c>
      <c r="B22" s="23"/>
      <c r="C22" s="23"/>
      <c r="D22" s="23"/>
      <c r="E22" s="23"/>
      <c r="F22" s="23"/>
      <c r="G22" s="23"/>
      <c r="H22" s="23"/>
      <c r="I22" s="23"/>
      <c r="J22" s="23"/>
      <c r="K22" s="23"/>
      <c r="L22" s="23"/>
      <c r="M22" s="23"/>
      <c r="N22" s="23"/>
      <c r="O22" s="27" t="n">
        <f aca="false">SUM(B22:N22)</f>
        <v>0</v>
      </c>
    </row>
    <row r="23" customFormat="false" ht="15" hidden="false" customHeight="false" outlineLevel="0" collapsed="false">
      <c r="A23" s="26" t="s">
        <v>186</v>
      </c>
      <c r="B23" s="23" t="n">
        <v>5</v>
      </c>
      <c r="C23" s="23"/>
      <c r="D23" s="23"/>
      <c r="E23" s="23"/>
      <c r="F23" s="23"/>
      <c r="G23" s="23"/>
      <c r="H23" s="23"/>
      <c r="I23" s="23"/>
      <c r="J23" s="23"/>
      <c r="K23" s="23"/>
      <c r="L23" s="23"/>
      <c r="M23" s="23"/>
      <c r="N23" s="23"/>
      <c r="O23" s="27" t="n">
        <f aca="false">SUM(B23:N23)</f>
        <v>5</v>
      </c>
    </row>
    <row r="24" customFormat="false" ht="15" hidden="false" customHeight="false" outlineLevel="0" collapsed="false">
      <c r="A24" s="26" t="s">
        <v>187</v>
      </c>
      <c r="B24" s="23"/>
      <c r="C24" s="23"/>
      <c r="D24" s="23"/>
      <c r="E24" s="23"/>
      <c r="F24" s="23"/>
      <c r="G24" s="23"/>
      <c r="H24" s="23"/>
      <c r="I24" s="23"/>
      <c r="J24" s="23"/>
      <c r="K24" s="23"/>
      <c r="L24" s="23"/>
      <c r="M24" s="23"/>
      <c r="N24" s="23"/>
      <c r="O24" s="27" t="n">
        <f aca="false">SUM(B24:N24)</f>
        <v>0</v>
      </c>
    </row>
    <row r="25" customFormat="false" ht="15" hidden="false" customHeight="false" outlineLevel="0" collapsed="false">
      <c r="A25" s="5" t="s">
        <v>188</v>
      </c>
      <c r="B25" s="22" t="n">
        <f aca="false">SUM(B15:B24)</f>
        <v>45</v>
      </c>
      <c r="C25" s="22" t="n">
        <f aca="false">SUM(C15:C24)</f>
        <v>0</v>
      </c>
      <c r="D25" s="22" t="n">
        <f aca="false">SUM(D15:D24)</f>
        <v>0</v>
      </c>
      <c r="E25" s="22" t="n">
        <f aca="false">SUM(E15:E24)</f>
        <v>0</v>
      </c>
      <c r="F25" s="22" t="n">
        <f aca="false">SUM(F15:F24)</f>
        <v>0</v>
      </c>
      <c r="G25" s="22" t="n">
        <f aca="false">SUM(G15:G24)</f>
        <v>0</v>
      </c>
      <c r="H25" s="22" t="n">
        <f aca="false">SUM(H15:H24)</f>
        <v>0</v>
      </c>
      <c r="I25" s="22" t="n">
        <f aca="false">SUM(I15:I24)</f>
        <v>0</v>
      </c>
      <c r="J25" s="22" t="n">
        <f aca="false">SUM(J15:J24)</f>
        <v>0</v>
      </c>
      <c r="K25" s="22" t="n">
        <f aca="false">SUM(K15:K24)</f>
        <v>0</v>
      </c>
      <c r="L25" s="22" t="n">
        <f aca="false">SUM(L15:L24)</f>
        <v>0</v>
      </c>
      <c r="M25" s="22" t="n">
        <f aca="false">SUM(M15:M24)</f>
        <v>0</v>
      </c>
      <c r="N25" s="22" t="n">
        <f aca="false">SUM(N15:N24)</f>
        <v>0</v>
      </c>
      <c r="O25" s="22" t="n">
        <f aca="false">SUM(O15:O24)</f>
        <v>45</v>
      </c>
    </row>
    <row r="27" customFormat="false" ht="15" hidden="false" customHeight="false" outlineLevel="0" collapsed="false">
      <c r="A27" s="3" t="s">
        <v>189</v>
      </c>
      <c r="B27" s="4"/>
      <c r="C27" s="4"/>
      <c r="D27" s="4"/>
      <c r="E27" s="4"/>
      <c r="F27" s="4"/>
      <c r="G27" s="4"/>
      <c r="H27" s="4"/>
      <c r="I27" s="4"/>
      <c r="J27" s="4"/>
      <c r="K27" s="4"/>
      <c r="L27" s="4"/>
      <c r="M27" s="4"/>
      <c r="N27" s="4"/>
      <c r="O27" s="4"/>
    </row>
    <row r="28" customFormat="false" ht="15" hidden="false" customHeight="false" outlineLevel="0" collapsed="false">
      <c r="A28" s="26" t="s">
        <v>190</v>
      </c>
      <c r="B28" s="23" t="n">
        <v>15</v>
      </c>
      <c r="C28" s="23"/>
      <c r="D28" s="23"/>
      <c r="E28" s="23"/>
      <c r="F28" s="23"/>
      <c r="G28" s="23"/>
      <c r="H28" s="23"/>
      <c r="I28" s="23"/>
      <c r="J28" s="23"/>
      <c r="K28" s="23"/>
      <c r="L28" s="23"/>
      <c r="M28" s="23"/>
      <c r="N28" s="23"/>
      <c r="O28" s="27" t="n">
        <f aca="false">SUM(B28:N28)</f>
        <v>15</v>
      </c>
    </row>
    <row r="29" customFormat="false" ht="15" hidden="false" customHeight="false" outlineLevel="0" collapsed="false">
      <c r="A29" s="26" t="s">
        <v>191</v>
      </c>
      <c r="B29" s="23" t="n">
        <v>20</v>
      </c>
      <c r="C29" s="23"/>
      <c r="D29" s="23"/>
      <c r="E29" s="23"/>
      <c r="F29" s="23"/>
      <c r="G29" s="23"/>
      <c r="H29" s="23"/>
      <c r="I29" s="23"/>
      <c r="J29" s="23"/>
      <c r="K29" s="23"/>
      <c r="L29" s="23"/>
      <c r="M29" s="23"/>
      <c r="N29" s="23"/>
      <c r="O29" s="27" t="n">
        <f aca="false">SUM(B29:N29)</f>
        <v>20</v>
      </c>
    </row>
    <row r="30" customFormat="false" ht="15" hidden="false" customHeight="false" outlineLevel="0" collapsed="false">
      <c r="A30" s="5" t="s">
        <v>192</v>
      </c>
      <c r="B30" s="22" t="n">
        <f aca="false">SUM(B28:B29)</f>
        <v>35</v>
      </c>
      <c r="C30" s="22" t="n">
        <f aca="false">SUM(C28:C29)</f>
        <v>0</v>
      </c>
      <c r="D30" s="22" t="n">
        <f aca="false">SUM(D28:D29)</f>
        <v>0</v>
      </c>
      <c r="E30" s="22" t="n">
        <f aca="false">SUM(E28:E29)</f>
        <v>0</v>
      </c>
      <c r="F30" s="22" t="n">
        <f aca="false">SUM(F28:F29)</f>
        <v>0</v>
      </c>
      <c r="G30" s="22" t="n">
        <f aca="false">SUM(G28:G29)</f>
        <v>0</v>
      </c>
      <c r="H30" s="22" t="n">
        <f aca="false">SUM(H28:H29)</f>
        <v>0</v>
      </c>
      <c r="I30" s="22" t="n">
        <f aca="false">SUM(I28:I29)</f>
        <v>0</v>
      </c>
      <c r="J30" s="22" t="n">
        <f aca="false">SUM(J28:J29)</f>
        <v>0</v>
      </c>
      <c r="K30" s="22" t="n">
        <f aca="false">SUM(K28:K29)</f>
        <v>0</v>
      </c>
      <c r="L30" s="22" t="n">
        <f aca="false">SUM(L28:L29)</f>
        <v>0</v>
      </c>
      <c r="M30" s="22" t="n">
        <f aca="false">SUM(M28:M29)</f>
        <v>0</v>
      </c>
      <c r="N30" s="22" t="n">
        <f aca="false">SUM(N28:N29)</f>
        <v>0</v>
      </c>
      <c r="O30" s="22" t="n">
        <f aca="false">SUM(O28:O29)</f>
        <v>35</v>
      </c>
    </row>
    <row r="32" customFormat="false" ht="15" hidden="false" customHeight="false" outlineLevel="0" collapsed="false">
      <c r="A32" s="5" t="s">
        <v>193</v>
      </c>
      <c r="B32" s="22" t="n">
        <f aca="false">B12-B25-B30</f>
        <v>0</v>
      </c>
      <c r="C32" s="22" t="n">
        <f aca="false">C12-C25-C30</f>
        <v>0</v>
      </c>
      <c r="D32" s="22" t="n">
        <f aca="false">D12-D25-D30</f>
        <v>0</v>
      </c>
      <c r="E32" s="22" t="n">
        <f aca="false">E12-E25-E30</f>
        <v>0</v>
      </c>
      <c r="F32" s="22" t="n">
        <f aca="false">F12-F25-F30</f>
        <v>0</v>
      </c>
      <c r="G32" s="22" t="n">
        <f aca="false">G12-G25-G30</f>
        <v>0</v>
      </c>
      <c r="H32" s="22" t="n">
        <f aca="false">H12-H25-H30</f>
        <v>0</v>
      </c>
      <c r="I32" s="22" t="n">
        <f aca="false">I12-I25-I30</f>
        <v>0</v>
      </c>
      <c r="J32" s="22" t="n">
        <f aca="false">J12-J25-J30</f>
        <v>0</v>
      </c>
      <c r="K32" s="22" t="n">
        <f aca="false">K12-K25-K30</f>
        <v>0</v>
      </c>
      <c r="L32" s="22" t="n">
        <f aca="false">L12-L25-L30</f>
        <v>0</v>
      </c>
      <c r="M32" s="22" t="n">
        <f aca="false">M12-M25-M30</f>
        <v>0</v>
      </c>
      <c r="N32" s="22" t="n">
        <f aca="false">N12-N25-N30</f>
        <v>0</v>
      </c>
      <c r="O32" s="22" t="n">
        <f aca="false">O12-O25-O30</f>
        <v>0</v>
      </c>
    </row>
    <row r="33" customFormat="false" ht="15" hidden="false" customHeight="false" outlineLevel="0" collapsed="false">
      <c r="A33" s="5" t="s">
        <v>194</v>
      </c>
      <c r="B33" s="24" t="n">
        <f aca="false">B32</f>
        <v>0</v>
      </c>
      <c r="C33" s="24" t="n">
        <f aca="false">C32+B33</f>
        <v>0</v>
      </c>
      <c r="D33" s="24" t="n">
        <f aca="false">D32+C33</f>
        <v>0</v>
      </c>
      <c r="E33" s="24" t="n">
        <f aca="false">E32+D33</f>
        <v>0</v>
      </c>
      <c r="F33" s="24" t="n">
        <f aca="false">F32+E33</f>
        <v>0</v>
      </c>
      <c r="G33" s="24" t="n">
        <f aca="false">G32+F33</f>
        <v>0</v>
      </c>
      <c r="H33" s="24" t="n">
        <f aca="false">H32+G33</f>
        <v>0</v>
      </c>
      <c r="I33" s="24" t="n">
        <f aca="false">I32+H33</f>
        <v>0</v>
      </c>
      <c r="J33" s="24" t="n">
        <f aca="false">J32+I33</f>
        <v>0</v>
      </c>
      <c r="K33" s="24" t="n">
        <f aca="false">K32+J33</f>
        <v>0</v>
      </c>
      <c r="L33" s="24" t="n">
        <f aca="false">L32+K33</f>
        <v>0</v>
      </c>
      <c r="M33" s="24" t="n">
        <f aca="false">M32+L33</f>
        <v>0</v>
      </c>
      <c r="N33" s="24" t="n">
        <f aca="false">N32+M33</f>
        <v>0</v>
      </c>
    </row>
    <row r="34" customFormat="false" ht="15" hidden="false" customHeight="false" outlineLevel="0" collapsed="false">
      <c r="A34" s="5" t="s">
        <v>195</v>
      </c>
      <c r="B34" s="24" t="n">
        <f aca="false">B30</f>
        <v>35</v>
      </c>
      <c r="C34" s="24" t="n">
        <f aca="false">C30+B34</f>
        <v>35</v>
      </c>
      <c r="D34" s="24" t="n">
        <f aca="false">D30+C34</f>
        <v>35</v>
      </c>
      <c r="E34" s="24" t="n">
        <f aca="false">E30+D34</f>
        <v>35</v>
      </c>
      <c r="F34" s="24" t="n">
        <f aca="false">F30+E34</f>
        <v>35</v>
      </c>
      <c r="G34" s="24" t="n">
        <f aca="false">G30+F34</f>
        <v>35</v>
      </c>
      <c r="H34" s="24" t="n">
        <f aca="false">H30+G34</f>
        <v>35</v>
      </c>
      <c r="I34" s="24" t="n">
        <f aca="false">I30+H34</f>
        <v>35</v>
      </c>
      <c r="J34" s="24" t="n">
        <f aca="false">J30+I34</f>
        <v>35</v>
      </c>
      <c r="K34" s="24" t="n">
        <f aca="false">K30+J34</f>
        <v>35</v>
      </c>
      <c r="L34" s="24" t="n">
        <f aca="false">L30+K34</f>
        <v>35</v>
      </c>
      <c r="M34" s="24" t="n">
        <f aca="false">M30+L34</f>
        <v>35</v>
      </c>
      <c r="N34" s="24" t="n">
        <f aca="false">N30+M34</f>
        <v>35</v>
      </c>
    </row>
    <row r="36" customFormat="false" ht="15" hidden="false" customHeight="false" outlineLevel="0" collapsed="false">
      <c r="A36" s="3" t="s">
        <v>196</v>
      </c>
      <c r="B36" s="4"/>
      <c r="C36" s="4"/>
      <c r="D36" s="4"/>
      <c r="E36" s="4"/>
      <c r="F36" s="4"/>
      <c r="G36" s="4"/>
      <c r="H36" s="4"/>
      <c r="I36" s="4"/>
      <c r="J36" s="4"/>
      <c r="K36" s="4"/>
      <c r="L36" s="4"/>
      <c r="M36" s="4"/>
      <c r="N36" s="4"/>
      <c r="O36" s="4"/>
    </row>
    <row r="37" customFormat="false" ht="15" hidden="false" customHeight="false" outlineLevel="0" collapsed="false">
      <c r="A37" s="5" t="s">
        <v>197</v>
      </c>
      <c r="B37" s="24" t="n">
        <f aca="false">O12</f>
        <v>80</v>
      </c>
    </row>
    <row r="38" customFormat="false" ht="15" hidden="false" customHeight="false" outlineLevel="0" collapsed="false">
      <c r="A38" s="5" t="s">
        <v>198</v>
      </c>
      <c r="B38" s="24" t="n">
        <f aca="false">O25</f>
        <v>45</v>
      </c>
    </row>
    <row r="39" customFormat="false" ht="15" hidden="false" customHeight="false" outlineLevel="0" collapsed="false">
      <c r="A39" s="5" t="s">
        <v>199</v>
      </c>
      <c r="B39" s="24" t="n">
        <f aca="false">O30</f>
        <v>35</v>
      </c>
    </row>
    <row r="40" customFormat="false" ht="15" hidden="false" customHeight="false" outlineLevel="0" collapsed="false">
      <c r="A40" s="5" t="s">
        <v>200</v>
      </c>
      <c r="B40" s="28" t="str">
        <f aca="false">IF(B37&lt;B38+B39,"Expenses + savings EXCEED income by "&amp;TEXT(B38+B39-B37,"$#,##0.00")&amp;" → answer 2b(1) below",IF(B37&gt;B38+B39,"Income EXCEEDS expenses + savings by "&amp;TEXT(B37-B38-B39,"$#,##0.00")&amp;" → answer 2b(2) below","Balanced budget"))</f>
        <v>Balanced budget</v>
      </c>
      <c r="C40" s="28"/>
      <c r="D40" s="28"/>
      <c r="E40" s="28"/>
      <c r="F40" s="28"/>
      <c r="G40" s="28"/>
      <c r="H40" s="28"/>
      <c r="I40" s="28"/>
      <c r="J40" s="28"/>
    </row>
    <row r="41" customFormat="false" ht="45" hidden="false" customHeight="true" outlineLevel="0" collapsed="false">
      <c r="A41" s="29" t="s">
        <v>201</v>
      </c>
      <c r="B41" s="6"/>
      <c r="C41" s="6"/>
      <c r="D41" s="6"/>
      <c r="E41" s="6"/>
      <c r="F41" s="6"/>
      <c r="G41" s="6"/>
      <c r="H41" s="6"/>
      <c r="I41" s="6"/>
      <c r="J41" s="6"/>
      <c r="K41" s="6"/>
      <c r="L41" s="6"/>
      <c r="M41" s="6"/>
      <c r="N41" s="6"/>
    </row>
    <row r="42" customFormat="false" ht="45" hidden="false" customHeight="true" outlineLevel="0" collapsed="false">
      <c r="A42" s="29" t="s">
        <v>202</v>
      </c>
      <c r="B42" s="6"/>
      <c r="C42" s="6"/>
      <c r="D42" s="6"/>
      <c r="E42" s="6"/>
      <c r="F42" s="6"/>
      <c r="G42" s="6"/>
      <c r="H42" s="6"/>
      <c r="I42" s="6"/>
      <c r="J42" s="6"/>
      <c r="K42" s="6"/>
      <c r="L42" s="6"/>
      <c r="M42" s="6"/>
      <c r="N42" s="6"/>
    </row>
  </sheetData>
  <mergeCells count="3">
    <mergeCell ref="B40:J40"/>
    <mergeCell ref="B41:N41"/>
    <mergeCell ref="B42:N42"/>
  </mergeCells>
  <conditionalFormatting sqref="B32:O32">
    <cfRule type="cellIs" priority="2"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4" min="2" style="0" width="11.5"/>
    <col collapsed="false" customWidth="true" hidden="false" outlineLevel="0" max="15" min="15" style="0" width="13"/>
  </cols>
  <sheetData>
    <row r="1" customFormat="false" ht="19.7" hidden="false" customHeight="false" outlineLevel="0" collapsed="false">
      <c r="A1" s="1" t="s">
        <v>203</v>
      </c>
    </row>
    <row r="2" customFormat="false" ht="15" hidden="false" customHeight="false" outlineLevel="0" collapsed="false">
      <c r="A2" s="2" t="s">
        <v>204</v>
      </c>
    </row>
    <row r="4" customFormat="false" ht="15" hidden="false" customHeight="false" outlineLevel="0" collapsed="false">
      <c r="A4" s="19" t="s">
        <v>154</v>
      </c>
      <c r="B4" s="19" t="s">
        <v>155</v>
      </c>
      <c r="C4" s="19" t="s">
        <v>156</v>
      </c>
      <c r="D4" s="19" t="s">
        <v>157</v>
      </c>
      <c r="E4" s="19" t="s">
        <v>158</v>
      </c>
      <c r="F4" s="19" t="s">
        <v>159</v>
      </c>
      <c r="G4" s="19" t="s">
        <v>160</v>
      </c>
      <c r="H4" s="19" t="s">
        <v>161</v>
      </c>
      <c r="I4" s="19" t="s">
        <v>162</v>
      </c>
      <c r="J4" s="19" t="s">
        <v>163</v>
      </c>
      <c r="K4" s="19" t="s">
        <v>164</v>
      </c>
      <c r="L4" s="19" t="s">
        <v>165</v>
      </c>
      <c r="M4" s="19" t="s">
        <v>166</v>
      </c>
      <c r="N4" s="19" t="s">
        <v>167</v>
      </c>
      <c r="O4" s="19" t="s">
        <v>168</v>
      </c>
    </row>
    <row r="5" customFormat="false" ht="15" hidden="false" customHeight="false" outlineLevel="0" collapsed="false">
      <c r="A5" s="5" t="s">
        <v>169</v>
      </c>
      <c r="B5" s="25" t="n">
        <f aca="false">'Start Here'!$B$12+0</f>
        <v>46307</v>
      </c>
      <c r="C5" s="25" t="n">
        <f aca="false">'Start Here'!$B$12+7</f>
        <v>46314</v>
      </c>
      <c r="D5" s="25" t="n">
        <f aca="false">'Start Here'!$B$12+14</f>
        <v>46321</v>
      </c>
      <c r="E5" s="25" t="n">
        <f aca="false">'Start Here'!$B$12+21</f>
        <v>46328</v>
      </c>
      <c r="F5" s="25" t="n">
        <f aca="false">'Start Here'!$B$12+28</f>
        <v>46335</v>
      </c>
      <c r="G5" s="25" t="n">
        <f aca="false">'Start Here'!$B$12+35</f>
        <v>46342</v>
      </c>
      <c r="H5" s="25" t="n">
        <f aca="false">'Start Here'!$B$12+42</f>
        <v>46349</v>
      </c>
      <c r="I5" s="25" t="n">
        <f aca="false">'Start Here'!$B$12+49</f>
        <v>46356</v>
      </c>
      <c r="J5" s="25" t="n">
        <f aca="false">'Start Here'!$B$12+56</f>
        <v>46363</v>
      </c>
      <c r="K5" s="25" t="n">
        <f aca="false">'Start Here'!$B$12+63</f>
        <v>46370</v>
      </c>
      <c r="L5" s="25" t="n">
        <f aca="false">'Start Here'!$B$12+70</f>
        <v>46377</v>
      </c>
      <c r="M5" s="25" t="n">
        <f aca="false">'Start Here'!$B$12+77</f>
        <v>46384</v>
      </c>
      <c r="N5" s="25" t="n">
        <f aca="false">'Start Here'!$B$12+84</f>
        <v>46391</v>
      </c>
    </row>
    <row r="6" customFormat="false" ht="15" hidden="false" customHeight="false" outlineLevel="0" collapsed="false">
      <c r="A6" s="5" t="s">
        <v>170</v>
      </c>
      <c r="B6" s="25" t="n">
        <f aca="false">B5+6</f>
        <v>46313</v>
      </c>
      <c r="C6" s="25" t="n">
        <f aca="false">C5+6</f>
        <v>46320</v>
      </c>
      <c r="D6" s="25" t="n">
        <f aca="false">D5+6</f>
        <v>46327</v>
      </c>
      <c r="E6" s="25" t="n">
        <f aca="false">E5+6</f>
        <v>46334</v>
      </c>
      <c r="F6" s="25" t="n">
        <f aca="false">F5+6</f>
        <v>46341</v>
      </c>
      <c r="G6" s="25" t="n">
        <f aca="false">G5+6</f>
        <v>46348</v>
      </c>
      <c r="H6" s="25" t="n">
        <f aca="false">H5+6</f>
        <v>46355</v>
      </c>
      <c r="I6" s="25" t="n">
        <f aca="false">I5+6</f>
        <v>46362</v>
      </c>
      <c r="J6" s="25" t="n">
        <f aca="false">J5+6</f>
        <v>46369</v>
      </c>
      <c r="K6" s="25" t="n">
        <f aca="false">K5+6</f>
        <v>46376</v>
      </c>
      <c r="L6" s="25" t="n">
        <f aca="false">L5+6</f>
        <v>46383</v>
      </c>
      <c r="M6" s="25" t="n">
        <f aca="false">M5+6</f>
        <v>46390</v>
      </c>
      <c r="N6" s="25" t="n">
        <f aca="false">N5+6</f>
        <v>46397</v>
      </c>
    </row>
    <row r="7" customFormat="false" ht="15" hidden="false" customHeight="false" outlineLevel="0" collapsed="false">
      <c r="A7" s="3" t="s">
        <v>171</v>
      </c>
      <c r="B7" s="4"/>
      <c r="C7" s="4"/>
      <c r="D7" s="4"/>
      <c r="E7" s="4"/>
      <c r="F7" s="4"/>
      <c r="G7" s="4"/>
      <c r="H7" s="4"/>
      <c r="I7" s="4"/>
      <c r="J7" s="4"/>
      <c r="K7" s="4"/>
      <c r="L7" s="4"/>
      <c r="M7" s="4"/>
      <c r="N7" s="4"/>
      <c r="O7" s="4"/>
    </row>
    <row r="8" customFormat="false" ht="15" hidden="false" customHeight="false" outlineLevel="0" collapsed="false">
      <c r="A8" s="26" t="s">
        <v>172</v>
      </c>
      <c r="B8" s="23"/>
      <c r="C8" s="23"/>
      <c r="D8" s="23"/>
      <c r="E8" s="23"/>
      <c r="F8" s="23"/>
      <c r="G8" s="23"/>
      <c r="H8" s="23"/>
      <c r="I8" s="23"/>
      <c r="J8" s="23"/>
      <c r="K8" s="23"/>
      <c r="L8" s="23"/>
      <c r="M8" s="23"/>
      <c r="N8" s="23"/>
      <c r="O8" s="27" t="n">
        <f aca="false">SUM(B8:N8)</f>
        <v>0</v>
      </c>
    </row>
    <row r="9" customFormat="false" ht="15" hidden="false" customHeight="false" outlineLevel="0" collapsed="false">
      <c r="A9" s="26" t="s">
        <v>173</v>
      </c>
      <c r="B9" s="23"/>
      <c r="C9" s="23"/>
      <c r="D9" s="23"/>
      <c r="E9" s="23"/>
      <c r="F9" s="23"/>
      <c r="G9" s="23"/>
      <c r="H9" s="23"/>
      <c r="I9" s="23"/>
      <c r="J9" s="23"/>
      <c r="K9" s="23"/>
      <c r="L9" s="23"/>
      <c r="M9" s="23"/>
      <c r="N9" s="23"/>
      <c r="O9" s="27" t="n">
        <f aca="false">SUM(B9:N9)</f>
        <v>0</v>
      </c>
    </row>
    <row r="10" customFormat="false" ht="15" hidden="false" customHeight="false" outlineLevel="0" collapsed="false">
      <c r="A10" s="26" t="s">
        <v>174</v>
      </c>
      <c r="B10" s="23"/>
      <c r="C10" s="23"/>
      <c r="D10" s="23"/>
      <c r="E10" s="23"/>
      <c r="F10" s="23"/>
      <c r="G10" s="23"/>
      <c r="H10" s="23"/>
      <c r="I10" s="23"/>
      <c r="J10" s="23"/>
      <c r="K10" s="23"/>
      <c r="L10" s="23"/>
      <c r="M10" s="23"/>
      <c r="N10" s="23"/>
      <c r="O10" s="27" t="n">
        <f aca="false">SUM(B10:N10)</f>
        <v>0</v>
      </c>
    </row>
    <row r="11" customFormat="false" ht="15" hidden="false" customHeight="false" outlineLevel="0" collapsed="false">
      <c r="A11" s="26" t="s">
        <v>175</v>
      </c>
      <c r="B11" s="23"/>
      <c r="C11" s="23"/>
      <c r="D11" s="23"/>
      <c r="E11" s="23"/>
      <c r="F11" s="23"/>
      <c r="G11" s="23"/>
      <c r="H11" s="23"/>
      <c r="I11" s="23"/>
      <c r="J11" s="23"/>
      <c r="K11" s="23"/>
      <c r="L11" s="23"/>
      <c r="M11" s="23"/>
      <c r="N11" s="23"/>
      <c r="O11" s="27" t="n">
        <f aca="false">SUM(B11:N11)</f>
        <v>0</v>
      </c>
    </row>
    <row r="12" customFormat="false" ht="15" hidden="false" customHeight="false" outlineLevel="0" collapsed="false">
      <c r="A12" s="5" t="s">
        <v>176</v>
      </c>
      <c r="B12" s="22" t="n">
        <f aca="false">SUM(B8:B11)</f>
        <v>0</v>
      </c>
      <c r="C12" s="22" t="n">
        <f aca="false">SUM(C8:C11)</f>
        <v>0</v>
      </c>
      <c r="D12" s="22" t="n">
        <f aca="false">SUM(D8:D11)</f>
        <v>0</v>
      </c>
      <c r="E12" s="22" t="n">
        <f aca="false">SUM(E8:E11)</f>
        <v>0</v>
      </c>
      <c r="F12" s="22" t="n">
        <f aca="false">SUM(F8:F11)</f>
        <v>0</v>
      </c>
      <c r="G12" s="22" t="n">
        <f aca="false">SUM(G8:G11)</f>
        <v>0</v>
      </c>
      <c r="H12" s="22" t="n">
        <f aca="false">SUM(H8:H11)</f>
        <v>0</v>
      </c>
      <c r="I12" s="22" t="n">
        <f aca="false">SUM(I8:I11)</f>
        <v>0</v>
      </c>
      <c r="J12" s="22" t="n">
        <f aca="false">SUM(J8:J11)</f>
        <v>0</v>
      </c>
      <c r="K12" s="22" t="n">
        <f aca="false">SUM(K8:K11)</f>
        <v>0</v>
      </c>
      <c r="L12" s="22" t="n">
        <f aca="false">SUM(L8:L11)</f>
        <v>0</v>
      </c>
      <c r="M12" s="22" t="n">
        <f aca="false">SUM(M8:M11)</f>
        <v>0</v>
      </c>
      <c r="N12" s="22" t="n">
        <f aca="false">SUM(N8:N11)</f>
        <v>0</v>
      </c>
      <c r="O12" s="22" t="n">
        <f aca="false">SUM(O8:O11)</f>
        <v>0</v>
      </c>
    </row>
    <row r="14" customFormat="false" ht="15" hidden="false" customHeight="false" outlineLevel="0" collapsed="false">
      <c r="A14" s="3" t="s">
        <v>177</v>
      </c>
      <c r="B14" s="4"/>
      <c r="C14" s="4"/>
      <c r="D14" s="4"/>
      <c r="E14" s="4"/>
      <c r="F14" s="4"/>
      <c r="G14" s="4"/>
      <c r="H14" s="4"/>
      <c r="I14" s="4"/>
      <c r="J14" s="4"/>
      <c r="K14" s="4"/>
      <c r="L14" s="4"/>
      <c r="M14" s="4"/>
      <c r="N14" s="4"/>
      <c r="O14" s="4"/>
    </row>
    <row r="15" customFormat="false" ht="15" hidden="false" customHeight="false" outlineLevel="0" collapsed="false">
      <c r="A15" s="26" t="s">
        <v>178</v>
      </c>
      <c r="B15" s="23"/>
      <c r="C15" s="23"/>
      <c r="D15" s="23"/>
      <c r="E15" s="23"/>
      <c r="F15" s="23"/>
      <c r="G15" s="23"/>
      <c r="H15" s="23"/>
      <c r="I15" s="23"/>
      <c r="J15" s="23"/>
      <c r="K15" s="23"/>
      <c r="L15" s="23"/>
      <c r="M15" s="23"/>
      <c r="N15" s="23"/>
      <c r="O15" s="27" t="n">
        <f aca="false">SUM(B15:N15)</f>
        <v>0</v>
      </c>
    </row>
    <row r="16" customFormat="false" ht="15" hidden="false" customHeight="false" outlineLevel="0" collapsed="false">
      <c r="A16" s="26" t="s">
        <v>179</v>
      </c>
      <c r="B16" s="23"/>
      <c r="C16" s="23"/>
      <c r="D16" s="23"/>
      <c r="E16" s="23"/>
      <c r="F16" s="23"/>
      <c r="G16" s="23"/>
      <c r="H16" s="23"/>
      <c r="I16" s="23"/>
      <c r="J16" s="23"/>
      <c r="K16" s="23"/>
      <c r="L16" s="23"/>
      <c r="M16" s="23"/>
      <c r="N16" s="23"/>
      <c r="O16" s="27" t="n">
        <f aca="false">SUM(B16:N16)</f>
        <v>0</v>
      </c>
    </row>
    <row r="17" customFormat="false" ht="15" hidden="false" customHeight="false" outlineLevel="0" collapsed="false">
      <c r="A17" s="26" t="s">
        <v>180</v>
      </c>
      <c r="B17" s="23"/>
      <c r="C17" s="23"/>
      <c r="D17" s="23"/>
      <c r="E17" s="23"/>
      <c r="F17" s="23"/>
      <c r="G17" s="23"/>
      <c r="H17" s="23"/>
      <c r="I17" s="23"/>
      <c r="J17" s="23"/>
      <c r="K17" s="23"/>
      <c r="L17" s="23"/>
      <c r="M17" s="23"/>
      <c r="N17" s="23"/>
      <c r="O17" s="27" t="n">
        <f aca="false">SUM(B17:N17)</f>
        <v>0</v>
      </c>
    </row>
    <row r="18" customFormat="false" ht="15" hidden="false" customHeight="false" outlineLevel="0" collapsed="false">
      <c r="A18" s="26" t="s">
        <v>181</v>
      </c>
      <c r="B18" s="23"/>
      <c r="C18" s="23"/>
      <c r="D18" s="23"/>
      <c r="E18" s="23"/>
      <c r="F18" s="23"/>
      <c r="G18" s="23"/>
      <c r="H18" s="23"/>
      <c r="I18" s="23"/>
      <c r="J18" s="23"/>
      <c r="K18" s="23"/>
      <c r="L18" s="23"/>
      <c r="M18" s="23"/>
      <c r="N18" s="23"/>
      <c r="O18" s="27" t="n">
        <f aca="false">SUM(B18:N18)</f>
        <v>0</v>
      </c>
    </row>
    <row r="19" customFormat="false" ht="15" hidden="false" customHeight="false" outlineLevel="0" collapsed="false">
      <c r="A19" s="26" t="s">
        <v>182</v>
      </c>
      <c r="B19" s="23"/>
      <c r="C19" s="23"/>
      <c r="D19" s="23"/>
      <c r="E19" s="23"/>
      <c r="F19" s="23"/>
      <c r="G19" s="23"/>
      <c r="H19" s="23"/>
      <c r="I19" s="23"/>
      <c r="J19" s="23"/>
      <c r="K19" s="23"/>
      <c r="L19" s="23"/>
      <c r="M19" s="23"/>
      <c r="N19" s="23"/>
      <c r="O19" s="27" t="n">
        <f aca="false">SUM(B19:N19)</f>
        <v>0</v>
      </c>
    </row>
    <row r="20" customFormat="false" ht="15" hidden="false" customHeight="false" outlineLevel="0" collapsed="false">
      <c r="A20" s="26" t="s">
        <v>183</v>
      </c>
      <c r="B20" s="23"/>
      <c r="C20" s="23"/>
      <c r="D20" s="23"/>
      <c r="E20" s="23"/>
      <c r="F20" s="23"/>
      <c r="G20" s="23"/>
      <c r="H20" s="23"/>
      <c r="I20" s="23"/>
      <c r="J20" s="23"/>
      <c r="K20" s="23"/>
      <c r="L20" s="23"/>
      <c r="M20" s="23"/>
      <c r="N20" s="23"/>
      <c r="O20" s="27" t="n">
        <f aca="false">SUM(B20:N20)</f>
        <v>0</v>
      </c>
    </row>
    <row r="21" customFormat="false" ht="15" hidden="false" customHeight="false" outlineLevel="0" collapsed="false">
      <c r="A21" s="26" t="s">
        <v>184</v>
      </c>
      <c r="B21" s="23"/>
      <c r="C21" s="23"/>
      <c r="D21" s="23"/>
      <c r="E21" s="23"/>
      <c r="F21" s="23"/>
      <c r="G21" s="23"/>
      <c r="H21" s="23"/>
      <c r="I21" s="23"/>
      <c r="J21" s="23"/>
      <c r="K21" s="23"/>
      <c r="L21" s="23"/>
      <c r="M21" s="23"/>
      <c r="N21" s="23"/>
      <c r="O21" s="27" t="n">
        <f aca="false">SUM(B21:N21)</f>
        <v>0</v>
      </c>
    </row>
    <row r="22" customFormat="false" ht="15" hidden="false" customHeight="false" outlineLevel="0" collapsed="false">
      <c r="A22" s="26" t="s">
        <v>185</v>
      </c>
      <c r="B22" s="23"/>
      <c r="C22" s="23"/>
      <c r="D22" s="23"/>
      <c r="E22" s="23"/>
      <c r="F22" s="23"/>
      <c r="G22" s="23"/>
      <c r="H22" s="23"/>
      <c r="I22" s="23"/>
      <c r="J22" s="23"/>
      <c r="K22" s="23"/>
      <c r="L22" s="23"/>
      <c r="M22" s="23"/>
      <c r="N22" s="23"/>
      <c r="O22" s="27" t="n">
        <f aca="false">SUM(B22:N22)</f>
        <v>0</v>
      </c>
    </row>
    <row r="23" customFormat="false" ht="15" hidden="false" customHeight="false" outlineLevel="0" collapsed="false">
      <c r="A23" s="26" t="s">
        <v>186</v>
      </c>
      <c r="B23" s="23"/>
      <c r="C23" s="23"/>
      <c r="D23" s="23"/>
      <c r="E23" s="23"/>
      <c r="F23" s="23"/>
      <c r="G23" s="23"/>
      <c r="H23" s="23"/>
      <c r="I23" s="23"/>
      <c r="J23" s="23"/>
      <c r="K23" s="23"/>
      <c r="L23" s="23"/>
      <c r="M23" s="23"/>
      <c r="N23" s="23"/>
      <c r="O23" s="27" t="n">
        <f aca="false">SUM(B23:N23)</f>
        <v>0</v>
      </c>
    </row>
    <row r="24" customFormat="false" ht="15" hidden="false" customHeight="false" outlineLevel="0" collapsed="false">
      <c r="A24" s="26" t="s">
        <v>187</v>
      </c>
      <c r="B24" s="23"/>
      <c r="C24" s="23"/>
      <c r="D24" s="23"/>
      <c r="E24" s="23"/>
      <c r="F24" s="23"/>
      <c r="G24" s="23"/>
      <c r="H24" s="23"/>
      <c r="I24" s="23"/>
      <c r="J24" s="23"/>
      <c r="K24" s="23"/>
      <c r="L24" s="23"/>
      <c r="M24" s="23"/>
      <c r="N24" s="23"/>
      <c r="O24" s="27" t="n">
        <f aca="false">SUM(B24:N24)</f>
        <v>0</v>
      </c>
    </row>
    <row r="25" customFormat="false" ht="15" hidden="false" customHeight="false" outlineLevel="0" collapsed="false">
      <c r="A25" s="5" t="s">
        <v>188</v>
      </c>
      <c r="B25" s="22" t="n">
        <f aca="false">SUM(B15:B24)</f>
        <v>0</v>
      </c>
      <c r="C25" s="22" t="n">
        <f aca="false">SUM(C15:C24)</f>
        <v>0</v>
      </c>
      <c r="D25" s="22" t="n">
        <f aca="false">SUM(D15:D24)</f>
        <v>0</v>
      </c>
      <c r="E25" s="22" t="n">
        <f aca="false">SUM(E15:E24)</f>
        <v>0</v>
      </c>
      <c r="F25" s="22" t="n">
        <f aca="false">SUM(F15:F24)</f>
        <v>0</v>
      </c>
      <c r="G25" s="22" t="n">
        <f aca="false">SUM(G15:G24)</f>
        <v>0</v>
      </c>
      <c r="H25" s="22" t="n">
        <f aca="false">SUM(H15:H24)</f>
        <v>0</v>
      </c>
      <c r="I25" s="22" t="n">
        <f aca="false">SUM(I15:I24)</f>
        <v>0</v>
      </c>
      <c r="J25" s="22" t="n">
        <f aca="false">SUM(J15:J24)</f>
        <v>0</v>
      </c>
      <c r="K25" s="22" t="n">
        <f aca="false">SUM(K15:K24)</f>
        <v>0</v>
      </c>
      <c r="L25" s="22" t="n">
        <f aca="false">SUM(L15:L24)</f>
        <v>0</v>
      </c>
      <c r="M25" s="22" t="n">
        <f aca="false">SUM(M15:M24)</f>
        <v>0</v>
      </c>
      <c r="N25" s="22" t="n">
        <f aca="false">SUM(N15:N24)</f>
        <v>0</v>
      </c>
      <c r="O25" s="22" t="n">
        <f aca="false">SUM(O15:O24)</f>
        <v>0</v>
      </c>
    </row>
    <row r="27" customFormat="false" ht="15" hidden="false" customHeight="false" outlineLevel="0" collapsed="false">
      <c r="A27" s="3" t="s">
        <v>189</v>
      </c>
      <c r="B27" s="4"/>
      <c r="C27" s="4"/>
      <c r="D27" s="4"/>
      <c r="E27" s="4"/>
      <c r="F27" s="4"/>
      <c r="G27" s="4"/>
      <c r="H27" s="4"/>
      <c r="I27" s="4"/>
      <c r="J27" s="4"/>
      <c r="K27" s="4"/>
      <c r="L27" s="4"/>
      <c r="M27" s="4"/>
      <c r="N27" s="4"/>
      <c r="O27" s="4"/>
    </row>
    <row r="28" customFormat="false" ht="15" hidden="false" customHeight="false" outlineLevel="0" collapsed="false">
      <c r="A28" s="26" t="s">
        <v>190</v>
      </c>
      <c r="B28" s="23"/>
      <c r="C28" s="23"/>
      <c r="D28" s="23"/>
      <c r="E28" s="23"/>
      <c r="F28" s="23"/>
      <c r="G28" s="23"/>
      <c r="H28" s="23"/>
      <c r="I28" s="23"/>
      <c r="J28" s="23"/>
      <c r="K28" s="23"/>
      <c r="L28" s="23"/>
      <c r="M28" s="23"/>
      <c r="N28" s="23"/>
      <c r="O28" s="27" t="n">
        <f aca="false">SUM(B28:N28)</f>
        <v>0</v>
      </c>
    </row>
    <row r="29" customFormat="false" ht="15" hidden="false" customHeight="false" outlineLevel="0" collapsed="false">
      <c r="A29" s="26" t="s">
        <v>191</v>
      </c>
      <c r="B29" s="23"/>
      <c r="C29" s="23"/>
      <c r="D29" s="23"/>
      <c r="E29" s="23"/>
      <c r="F29" s="23"/>
      <c r="G29" s="23"/>
      <c r="H29" s="23"/>
      <c r="I29" s="23"/>
      <c r="J29" s="23"/>
      <c r="K29" s="23"/>
      <c r="L29" s="23"/>
      <c r="M29" s="23"/>
      <c r="N29" s="23"/>
      <c r="O29" s="27" t="n">
        <f aca="false">SUM(B29:N29)</f>
        <v>0</v>
      </c>
    </row>
    <row r="30" customFormat="false" ht="15" hidden="false" customHeight="false" outlineLevel="0" collapsed="false">
      <c r="A30" s="5" t="s">
        <v>192</v>
      </c>
      <c r="B30" s="22" t="n">
        <f aca="false">SUM(B28:B29)</f>
        <v>0</v>
      </c>
      <c r="C30" s="22" t="n">
        <f aca="false">SUM(C28:C29)</f>
        <v>0</v>
      </c>
      <c r="D30" s="22" t="n">
        <f aca="false">SUM(D28:D29)</f>
        <v>0</v>
      </c>
      <c r="E30" s="22" t="n">
        <f aca="false">SUM(E28:E29)</f>
        <v>0</v>
      </c>
      <c r="F30" s="22" t="n">
        <f aca="false">SUM(F28:F29)</f>
        <v>0</v>
      </c>
      <c r="G30" s="22" t="n">
        <f aca="false">SUM(G28:G29)</f>
        <v>0</v>
      </c>
      <c r="H30" s="22" t="n">
        <f aca="false">SUM(H28:H29)</f>
        <v>0</v>
      </c>
      <c r="I30" s="22" t="n">
        <f aca="false">SUM(I28:I29)</f>
        <v>0</v>
      </c>
      <c r="J30" s="22" t="n">
        <f aca="false">SUM(J28:J29)</f>
        <v>0</v>
      </c>
      <c r="K30" s="22" t="n">
        <f aca="false">SUM(K28:K29)</f>
        <v>0</v>
      </c>
      <c r="L30" s="22" t="n">
        <f aca="false">SUM(L28:L29)</f>
        <v>0</v>
      </c>
      <c r="M30" s="22" t="n">
        <f aca="false">SUM(M28:M29)</f>
        <v>0</v>
      </c>
      <c r="N30" s="22" t="n">
        <f aca="false">SUM(N28:N29)</f>
        <v>0</v>
      </c>
      <c r="O30" s="22" t="n">
        <f aca="false">SUM(O28:O29)</f>
        <v>0</v>
      </c>
    </row>
    <row r="32" customFormat="false" ht="15" hidden="false" customHeight="false" outlineLevel="0" collapsed="false">
      <c r="A32" s="5" t="s">
        <v>193</v>
      </c>
      <c r="B32" s="22" t="n">
        <f aca="false">B12-B25-B30</f>
        <v>0</v>
      </c>
      <c r="C32" s="22" t="n">
        <f aca="false">C12-C25-C30</f>
        <v>0</v>
      </c>
      <c r="D32" s="22" t="n">
        <f aca="false">D12-D25-D30</f>
        <v>0</v>
      </c>
      <c r="E32" s="22" t="n">
        <f aca="false">E12-E25-E30</f>
        <v>0</v>
      </c>
      <c r="F32" s="22" t="n">
        <f aca="false">F12-F25-F30</f>
        <v>0</v>
      </c>
      <c r="G32" s="22" t="n">
        <f aca="false">G12-G25-G30</f>
        <v>0</v>
      </c>
      <c r="H32" s="22" t="n">
        <f aca="false">H12-H25-H30</f>
        <v>0</v>
      </c>
      <c r="I32" s="22" t="n">
        <f aca="false">I12-I25-I30</f>
        <v>0</v>
      </c>
      <c r="J32" s="22" t="n">
        <f aca="false">J12-J25-J30</f>
        <v>0</v>
      </c>
      <c r="K32" s="22" t="n">
        <f aca="false">K12-K25-K30</f>
        <v>0</v>
      </c>
      <c r="L32" s="22" t="n">
        <f aca="false">L12-L25-L30</f>
        <v>0</v>
      </c>
      <c r="M32" s="22" t="n">
        <f aca="false">M12-M25-M30</f>
        <v>0</v>
      </c>
      <c r="N32" s="22" t="n">
        <f aca="false">N12-N25-N30</f>
        <v>0</v>
      </c>
      <c r="O32" s="22" t="n">
        <f aca="false">O12-O25-O30</f>
        <v>0</v>
      </c>
    </row>
    <row r="33" customFormat="false" ht="15" hidden="false" customHeight="false" outlineLevel="0" collapsed="false">
      <c r="A33" s="5" t="s">
        <v>194</v>
      </c>
      <c r="B33" s="24" t="n">
        <f aca="false">B32</f>
        <v>0</v>
      </c>
      <c r="C33" s="24" t="n">
        <f aca="false">C32+B33</f>
        <v>0</v>
      </c>
      <c r="D33" s="24" t="n">
        <f aca="false">D32+C33</f>
        <v>0</v>
      </c>
      <c r="E33" s="24" t="n">
        <f aca="false">E32+D33</f>
        <v>0</v>
      </c>
      <c r="F33" s="24" t="n">
        <f aca="false">F32+E33</f>
        <v>0</v>
      </c>
      <c r="G33" s="24" t="n">
        <f aca="false">G32+F33</f>
        <v>0</v>
      </c>
      <c r="H33" s="24" t="n">
        <f aca="false">H32+G33</f>
        <v>0</v>
      </c>
      <c r="I33" s="24" t="n">
        <f aca="false">I32+H33</f>
        <v>0</v>
      </c>
      <c r="J33" s="24" t="n">
        <f aca="false">J32+I33</f>
        <v>0</v>
      </c>
      <c r="K33" s="24" t="n">
        <f aca="false">K32+J33</f>
        <v>0</v>
      </c>
      <c r="L33" s="24" t="n">
        <f aca="false">L32+K33</f>
        <v>0</v>
      </c>
      <c r="M33" s="24" t="n">
        <f aca="false">M32+L33</f>
        <v>0</v>
      </c>
      <c r="N33" s="24" t="n">
        <f aca="false">N32+M33</f>
        <v>0</v>
      </c>
    </row>
    <row r="34" customFormat="false" ht="15" hidden="false" customHeight="false" outlineLevel="0" collapsed="false">
      <c r="A34" s="5" t="s">
        <v>195</v>
      </c>
      <c r="B34" s="24" t="n">
        <f aca="false">B30</f>
        <v>0</v>
      </c>
      <c r="C34" s="24" t="n">
        <f aca="false">C30+B34</f>
        <v>0</v>
      </c>
      <c r="D34" s="24" t="n">
        <f aca="false">D30+C34</f>
        <v>0</v>
      </c>
      <c r="E34" s="24" t="n">
        <f aca="false">E30+D34</f>
        <v>0</v>
      </c>
      <c r="F34" s="24" t="n">
        <f aca="false">F30+E34</f>
        <v>0</v>
      </c>
      <c r="G34" s="24" t="n">
        <f aca="false">G30+F34</f>
        <v>0</v>
      </c>
      <c r="H34" s="24" t="n">
        <f aca="false">H30+G34</f>
        <v>0</v>
      </c>
      <c r="I34" s="24" t="n">
        <f aca="false">I30+H34</f>
        <v>0</v>
      </c>
      <c r="J34" s="24" t="n">
        <f aca="false">J30+I34</f>
        <v>0</v>
      </c>
      <c r="K34" s="24" t="n">
        <f aca="false">K30+J34</f>
        <v>0</v>
      </c>
      <c r="L34" s="24" t="n">
        <f aca="false">L30+K34</f>
        <v>0</v>
      </c>
      <c r="M34" s="24" t="n">
        <f aca="false">M30+L34</f>
        <v>0</v>
      </c>
      <c r="N34" s="24" t="n">
        <f aca="false">N30+M34</f>
        <v>0</v>
      </c>
    </row>
    <row r="36" customFormat="false" ht="15" hidden="false" customHeight="false" outlineLevel="0" collapsed="false">
      <c r="A36" s="3" t="s">
        <v>205</v>
      </c>
      <c r="B36" s="4"/>
      <c r="C36" s="4"/>
      <c r="D36" s="4"/>
      <c r="E36" s="4"/>
      <c r="F36" s="4"/>
      <c r="G36" s="4"/>
      <c r="H36" s="4"/>
      <c r="I36" s="4"/>
      <c r="J36" s="4"/>
      <c r="K36" s="4"/>
      <c r="L36" s="4"/>
      <c r="M36" s="4"/>
      <c r="N36" s="4"/>
      <c r="O36" s="4"/>
    </row>
    <row r="37" customFormat="false" ht="15" hidden="false" customHeight="false" outlineLevel="0" collapsed="false">
      <c r="A37" s="5" t="s">
        <v>206</v>
      </c>
      <c r="B37" s="30" t="str">
        <f aca="true">IF(COUNT(B8:B29)&gt;0,"✓",IF(TODAY()&gt;B6,"MISSING",""))</f>
        <v>✓</v>
      </c>
      <c r="C37" s="30" t="str">
        <f aca="true">IF(COUNT(C8:C29)&gt;0,"✓",IF(TODAY()&gt;C6,"MISSING",""))</f>
        <v>✓</v>
      </c>
      <c r="D37" s="30" t="str">
        <f aca="true">IF(COUNT(D8:D29)&gt;0,"✓",IF(TODAY()&gt;D6,"MISSING",""))</f>
        <v>✓</v>
      </c>
      <c r="E37" s="30" t="str">
        <f aca="true">IF(COUNT(E8:E29)&gt;0,"✓",IF(TODAY()&gt;E6,"MISSING",""))</f>
        <v>✓</v>
      </c>
      <c r="F37" s="30" t="str">
        <f aca="true">IF(COUNT(F8:F29)&gt;0,"✓",IF(TODAY()&gt;F6,"MISSING",""))</f>
        <v>✓</v>
      </c>
      <c r="G37" s="30" t="str">
        <f aca="true">IF(COUNT(G8:G29)&gt;0,"✓",IF(TODAY()&gt;G6,"MISSING",""))</f>
        <v>✓</v>
      </c>
      <c r="H37" s="30" t="str">
        <f aca="true">IF(COUNT(H8:H29)&gt;0,"✓",IF(TODAY()&gt;H6,"MISSING",""))</f>
        <v>✓</v>
      </c>
      <c r="I37" s="30" t="str">
        <f aca="true">IF(COUNT(I8:I29)&gt;0,"✓",IF(TODAY()&gt;I6,"MISSING",""))</f>
        <v>✓</v>
      </c>
      <c r="J37" s="30" t="str">
        <f aca="true">IF(COUNT(J8:J29)&gt;0,"✓",IF(TODAY()&gt;J6,"MISSING",""))</f>
        <v>✓</v>
      </c>
      <c r="K37" s="30" t="str">
        <f aca="true">IF(COUNT(K8:K29)&gt;0,"✓",IF(TODAY()&gt;K6,"MISSING",""))</f>
        <v>✓</v>
      </c>
      <c r="L37" s="30" t="str">
        <f aca="true">IF(COUNT(L8:L29)&gt;0,"✓",IF(TODAY()&gt;L6,"MISSING",""))</f>
        <v>✓</v>
      </c>
      <c r="M37" s="30" t="str">
        <f aca="true">IF(COUNT(M8:M29)&gt;0,"✓",IF(TODAY()&gt;M6,"MISSING",""))</f>
        <v>✓</v>
      </c>
      <c r="N37" s="30" t="str">
        <f aca="true">IF(COUNT(N8:N29)&gt;0,"✓",IF(TODAY()&gt;N6,"MISSING",""))</f>
        <v>✓</v>
      </c>
    </row>
    <row r="38" customFormat="false" ht="15" hidden="false" customHeight="false" outlineLevel="0" collapsed="false">
      <c r="A38" s="5" t="s">
        <v>207</v>
      </c>
      <c r="B38" s="20" t="str">
        <f aca="false">COUNTIF(B37:N37,"✓")&amp;" of 13"</f>
        <v>13 of 13</v>
      </c>
    </row>
  </sheetData>
  <conditionalFormatting sqref="B32:O32">
    <cfRule type="cellIs" priority="2" operator="lessThan" aboveAverage="0" equalAverage="0" bottom="0" percent="0" rank="0" text="" dxfId="1">
      <formula>0</formula>
    </cfRule>
  </conditionalFormatting>
  <conditionalFormatting sqref="B37:N37">
    <cfRule type="cellIs" priority="3" operator="equal" aboveAverage="0" equalAverage="0" bottom="0" percent="0" rank="0" text="" dxfId="1">
      <formula>"MISSING"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14"/>
    <col collapsed="false" customWidth="true" hidden="false" outlineLevel="0" max="5" min="5" style="0" width="11"/>
    <col collapsed="false" customWidth="true" hidden="false" outlineLevel="0" max="6" min="6" style="0" width="50"/>
  </cols>
  <sheetData>
    <row r="1" customFormat="false" ht="19.7" hidden="false" customHeight="false" outlineLevel="0" collapsed="false">
      <c r="A1" s="1" t="s">
        <v>208</v>
      </c>
    </row>
    <row r="2" customFormat="false" ht="15" hidden="false" customHeight="false" outlineLevel="0" collapsed="false">
      <c r="A2" s="2" t="s">
        <v>209</v>
      </c>
    </row>
    <row r="4" customFormat="false" ht="26.85" hidden="false" customHeight="false" outlineLevel="0" collapsed="false">
      <c r="A4" s="19" t="s">
        <v>210</v>
      </c>
      <c r="B4" s="19" t="s">
        <v>211</v>
      </c>
      <c r="C4" s="19" t="s">
        <v>212</v>
      </c>
      <c r="D4" s="19" t="s">
        <v>213</v>
      </c>
      <c r="E4" s="19" t="s">
        <v>214</v>
      </c>
      <c r="F4" s="19" t="s">
        <v>215</v>
      </c>
    </row>
    <row r="5" customFormat="false" ht="15" hidden="false" customHeight="false" outlineLevel="0" collapsed="false">
      <c r="A5" s="3" t="s">
        <v>171</v>
      </c>
      <c r="B5" s="4"/>
      <c r="C5" s="4"/>
      <c r="D5" s="4"/>
      <c r="E5" s="4"/>
      <c r="F5" s="4"/>
    </row>
    <row r="6" customFormat="false" ht="15" hidden="false" customHeight="false" outlineLevel="0" collapsed="false">
      <c r="A6" s="21" t="str">
        <f aca="false">'Req 2 Budget'!A8</f>
        <v>Allowance</v>
      </c>
      <c r="B6" s="31" t="n">
        <f aca="false">'Req 2 Budget'!O8</f>
        <v>20</v>
      </c>
      <c r="C6" s="31" t="n">
        <f aca="false">'Req 2 Actual'!O8</f>
        <v>0</v>
      </c>
      <c r="D6" s="24" t="n">
        <f aca="false">C6-B6</f>
        <v>-20</v>
      </c>
      <c r="E6" s="32" t="n">
        <f aca="false">IF(B6=0,"",C6/B6)</f>
        <v>0</v>
      </c>
      <c r="F6" s="6"/>
    </row>
    <row r="7" customFormat="false" ht="15" hidden="false" customHeight="false" outlineLevel="0" collapsed="false">
      <c r="A7" s="21" t="str">
        <f aca="false">'Req 2 Budget'!A9</f>
        <v>Gifts</v>
      </c>
      <c r="B7" s="31" t="n">
        <f aca="false">'Req 2 Budget'!O9</f>
        <v>0</v>
      </c>
      <c r="C7" s="31" t="n">
        <f aca="false">'Req 2 Actual'!O9</f>
        <v>0</v>
      </c>
      <c r="D7" s="24" t="n">
        <f aca="false">C7-B7</f>
        <v>0</v>
      </c>
      <c r="E7" s="32" t="str">
        <f aca="false">IF(B7=0,"",C7/B7)</f>
        <v/>
      </c>
      <c r="F7" s="6"/>
    </row>
    <row r="8" customFormat="false" ht="15" hidden="false" customHeight="false" outlineLevel="0" collapsed="false">
      <c r="A8" s="21" t="str">
        <f aca="false">'Req 2 Budget'!A10</f>
        <v>Wages / job</v>
      </c>
      <c r="B8" s="31" t="n">
        <f aca="false">'Req 2 Budget'!O10</f>
        <v>60</v>
      </c>
      <c r="C8" s="31" t="n">
        <f aca="false">'Req 2 Actual'!O10</f>
        <v>0</v>
      </c>
      <c r="D8" s="24" t="n">
        <f aca="false">C8-B8</f>
        <v>-60</v>
      </c>
      <c r="E8" s="32" t="n">
        <f aca="false">IF(B8=0,"",C8/B8)</f>
        <v>0</v>
      </c>
      <c r="F8" s="6"/>
    </row>
    <row r="9" customFormat="false" ht="15" hidden="false" customHeight="false" outlineLevel="0" collapsed="false">
      <c r="A9" s="21" t="str">
        <f aca="false">'Req 2 Budget'!A11</f>
        <v>Other income</v>
      </c>
      <c r="B9" s="31" t="n">
        <f aca="false">'Req 2 Budget'!O11</f>
        <v>0</v>
      </c>
      <c r="C9" s="31" t="n">
        <f aca="false">'Req 2 Actual'!O11</f>
        <v>0</v>
      </c>
      <c r="D9" s="24" t="n">
        <f aca="false">C9-B9</f>
        <v>0</v>
      </c>
      <c r="E9" s="32" t="str">
        <f aca="false">IF(B9=0,"",C9/B9)</f>
        <v/>
      </c>
      <c r="F9" s="6"/>
    </row>
    <row r="10" customFormat="false" ht="15" hidden="false" customHeight="false" outlineLevel="0" collapsed="false">
      <c r="A10" s="28" t="str">
        <f aca="false">'Req 2 Budget'!A12</f>
        <v>TOTAL INCOME</v>
      </c>
      <c r="B10" s="33" t="n">
        <f aca="false">'Req 2 Budget'!O12</f>
        <v>80</v>
      </c>
      <c r="C10" s="33" t="n">
        <f aca="false">'Req 2 Actual'!O12</f>
        <v>0</v>
      </c>
      <c r="D10" s="22" t="n">
        <f aca="false">C10-B10</f>
        <v>-80</v>
      </c>
      <c r="E10" s="18" t="n">
        <f aca="false">IF(B10=0,"",C10/B10)</f>
        <v>0</v>
      </c>
    </row>
    <row r="12" customFormat="false" ht="15" hidden="false" customHeight="false" outlineLevel="0" collapsed="false">
      <c r="A12" s="3" t="s">
        <v>177</v>
      </c>
      <c r="B12" s="4"/>
      <c r="C12" s="4"/>
      <c r="D12" s="4"/>
      <c r="E12" s="4"/>
      <c r="F12" s="4"/>
    </row>
    <row r="13" customFormat="false" ht="15" hidden="false" customHeight="false" outlineLevel="0" collapsed="false">
      <c r="A13" s="21" t="str">
        <f aca="false">'Req 2 Budget'!A15</f>
        <v>Food &amp; snacks</v>
      </c>
      <c r="B13" s="31" t="n">
        <f aca="false">'Req 2 Budget'!O15</f>
        <v>15</v>
      </c>
      <c r="C13" s="31" t="n">
        <f aca="false">'Req 2 Actual'!O15</f>
        <v>0</v>
      </c>
      <c r="D13" s="24" t="n">
        <f aca="false">C13-B13</f>
        <v>-15</v>
      </c>
      <c r="E13" s="32" t="n">
        <f aca="false">IF(B13=0,"",C13/B13)</f>
        <v>0</v>
      </c>
      <c r="F13" s="6"/>
    </row>
    <row r="14" customFormat="false" ht="15" hidden="false" customHeight="false" outlineLevel="0" collapsed="false">
      <c r="A14" s="21" t="str">
        <f aca="false">'Req 2 Budget'!A16</f>
        <v>Entertainment</v>
      </c>
      <c r="B14" s="31" t="n">
        <f aca="false">'Req 2 Budget'!O16</f>
        <v>15</v>
      </c>
      <c r="C14" s="31" t="n">
        <f aca="false">'Req 2 Actual'!O16</f>
        <v>0</v>
      </c>
      <c r="D14" s="24" t="n">
        <f aca="false">C14-B14</f>
        <v>-15</v>
      </c>
      <c r="E14" s="32" t="n">
        <f aca="false">IF(B14=0,"",C14/B14)</f>
        <v>0</v>
      </c>
      <c r="F14" s="6"/>
    </row>
    <row r="15" customFormat="false" ht="15" hidden="false" customHeight="false" outlineLevel="0" collapsed="false">
      <c r="A15" s="21" t="str">
        <f aca="false">'Req 2 Budget'!A17</f>
        <v>Clothing</v>
      </c>
      <c r="B15" s="31" t="n">
        <f aca="false">'Req 2 Budget'!O17</f>
        <v>0</v>
      </c>
      <c r="C15" s="31" t="n">
        <f aca="false">'Req 2 Actual'!O17</f>
        <v>0</v>
      </c>
      <c r="D15" s="24" t="n">
        <f aca="false">C15-B15</f>
        <v>0</v>
      </c>
      <c r="E15" s="32" t="str">
        <f aca="false">IF(B15=0,"",C15/B15)</f>
        <v/>
      </c>
      <c r="F15" s="6"/>
    </row>
    <row r="16" customFormat="false" ht="15" hidden="false" customHeight="false" outlineLevel="0" collapsed="false">
      <c r="A16" s="21" t="str">
        <f aca="false">'Req 2 Budget'!A18</f>
        <v>Transportation / gas</v>
      </c>
      <c r="B16" s="31" t="n">
        <f aca="false">'Req 2 Budget'!O18</f>
        <v>10</v>
      </c>
      <c r="C16" s="31" t="n">
        <f aca="false">'Req 2 Actual'!O18</f>
        <v>0</v>
      </c>
      <c r="D16" s="24" t="n">
        <f aca="false">C16-B16</f>
        <v>-10</v>
      </c>
      <c r="E16" s="32" t="n">
        <f aca="false">IF(B16=0,"",C16/B16)</f>
        <v>0</v>
      </c>
      <c r="F16" s="6"/>
    </row>
    <row r="17" customFormat="false" ht="15" hidden="false" customHeight="false" outlineLevel="0" collapsed="false">
      <c r="A17" s="21" t="str">
        <f aca="false">'Req 2 Budget'!A19</f>
        <v>Phone / subscriptions</v>
      </c>
      <c r="B17" s="31" t="n">
        <f aca="false">'Req 2 Budget'!O19</f>
        <v>0</v>
      </c>
      <c r="C17" s="31" t="n">
        <f aca="false">'Req 2 Actual'!O19</f>
        <v>0</v>
      </c>
      <c r="D17" s="24" t="n">
        <f aca="false">C17-B17</f>
        <v>0</v>
      </c>
      <c r="E17" s="32" t="str">
        <f aca="false">IF(B17=0,"",C17/B17)</f>
        <v/>
      </c>
      <c r="F17" s="6"/>
    </row>
    <row r="18" customFormat="false" ht="15" hidden="false" customHeight="false" outlineLevel="0" collapsed="false">
      <c r="A18" s="21" t="str">
        <f aca="false">'Req 2 Budget'!A20</f>
        <v>School supplies &amp; fees</v>
      </c>
      <c r="B18" s="31" t="n">
        <f aca="false">'Req 2 Budget'!O20</f>
        <v>0</v>
      </c>
      <c r="C18" s="31" t="n">
        <f aca="false">'Req 2 Actual'!O20</f>
        <v>0</v>
      </c>
      <c r="D18" s="24" t="n">
        <f aca="false">C18-B18</f>
        <v>0</v>
      </c>
      <c r="E18" s="32" t="str">
        <f aca="false">IF(B18=0,"",C18/B18)</f>
        <v/>
      </c>
      <c r="F18" s="6"/>
    </row>
    <row r="19" customFormat="false" ht="15" hidden="false" customHeight="false" outlineLevel="0" collapsed="false">
      <c r="A19" s="21" t="str">
        <f aca="false">'Req 2 Budget'!A21</f>
        <v>Scouting / activities</v>
      </c>
      <c r="B19" s="31" t="n">
        <f aca="false">'Req 2 Budget'!O21</f>
        <v>0</v>
      </c>
      <c r="C19" s="31" t="n">
        <f aca="false">'Req 2 Actual'!O21</f>
        <v>0</v>
      </c>
      <c r="D19" s="24" t="n">
        <f aca="false">C19-B19</f>
        <v>0</v>
      </c>
      <c r="E19" s="32" t="str">
        <f aca="false">IF(B19=0,"",C19/B19)</f>
        <v/>
      </c>
      <c r="F19" s="6"/>
    </row>
    <row r="20" customFormat="false" ht="15" hidden="false" customHeight="false" outlineLevel="0" collapsed="false">
      <c r="A20" s="21" t="str">
        <f aca="false">'Req 2 Budget'!A22</f>
        <v>Gifts for others</v>
      </c>
      <c r="B20" s="31" t="n">
        <f aca="false">'Req 2 Budget'!O22</f>
        <v>0</v>
      </c>
      <c r="C20" s="31" t="n">
        <f aca="false">'Req 2 Actual'!O22</f>
        <v>0</v>
      </c>
      <c r="D20" s="24" t="n">
        <f aca="false">C20-B20</f>
        <v>0</v>
      </c>
      <c r="E20" s="32" t="str">
        <f aca="false">IF(B20=0,"",C20/B20)</f>
        <v/>
      </c>
      <c r="F20" s="6"/>
    </row>
    <row r="21" customFormat="false" ht="15" hidden="false" customHeight="false" outlineLevel="0" collapsed="false">
      <c r="A21" s="21" t="str">
        <f aca="false">'Req 2 Budget'!A23</f>
        <v>Charity / giving</v>
      </c>
      <c r="B21" s="31" t="n">
        <f aca="false">'Req 2 Budget'!O23</f>
        <v>5</v>
      </c>
      <c r="C21" s="31" t="n">
        <f aca="false">'Req 2 Actual'!O23</f>
        <v>0</v>
      </c>
      <c r="D21" s="24" t="n">
        <f aca="false">C21-B21</f>
        <v>-5</v>
      </c>
      <c r="E21" s="32" t="n">
        <f aca="false">IF(B21=0,"",C21/B21)</f>
        <v>0</v>
      </c>
      <c r="F21" s="6"/>
    </row>
    <row r="22" customFormat="false" ht="15" hidden="false" customHeight="false" outlineLevel="0" collapsed="false">
      <c r="A22" s="21" t="str">
        <f aca="false">'Req 2 Budget'!A24</f>
        <v>Other expenses</v>
      </c>
      <c r="B22" s="31" t="n">
        <f aca="false">'Req 2 Budget'!O24</f>
        <v>0</v>
      </c>
      <c r="C22" s="31" t="n">
        <f aca="false">'Req 2 Actual'!O24</f>
        <v>0</v>
      </c>
      <c r="D22" s="24" t="n">
        <f aca="false">C22-B22</f>
        <v>0</v>
      </c>
      <c r="E22" s="32" t="str">
        <f aca="false">IF(B22=0,"",C22/B22)</f>
        <v/>
      </c>
      <c r="F22" s="6"/>
    </row>
    <row r="23" customFormat="false" ht="15" hidden="false" customHeight="false" outlineLevel="0" collapsed="false">
      <c r="A23" s="28" t="str">
        <f aca="false">'Req 2 Budget'!A25</f>
        <v>TOTAL EXPENSES</v>
      </c>
      <c r="B23" s="33" t="n">
        <f aca="false">'Req 2 Budget'!O25</f>
        <v>45</v>
      </c>
      <c r="C23" s="33" t="n">
        <f aca="false">'Req 2 Actual'!O25</f>
        <v>0</v>
      </c>
      <c r="D23" s="22" t="n">
        <f aca="false">C23-B23</f>
        <v>-45</v>
      </c>
      <c r="E23" s="18" t="n">
        <f aca="false">IF(B23=0,"",C23/B23)</f>
        <v>0</v>
      </c>
    </row>
    <row r="25" customFormat="false" ht="15" hidden="false" customHeight="false" outlineLevel="0" collapsed="false">
      <c r="A25" s="3" t="s">
        <v>189</v>
      </c>
      <c r="B25" s="4"/>
      <c r="C25" s="4"/>
      <c r="D25" s="4"/>
      <c r="E25" s="4"/>
      <c r="F25" s="4"/>
    </row>
    <row r="26" customFormat="false" ht="15" hidden="false" customHeight="false" outlineLevel="0" collapsed="false">
      <c r="A26" s="21" t="str">
        <f aca="false">'Req 2 Budget'!A28</f>
        <v>Savings — general</v>
      </c>
      <c r="B26" s="31" t="n">
        <f aca="false">'Req 2 Budget'!O28</f>
        <v>15</v>
      </c>
      <c r="C26" s="31" t="n">
        <f aca="false">'Req 2 Actual'!O28</f>
        <v>0</v>
      </c>
      <c r="D26" s="24" t="n">
        <f aca="false">C26-B26</f>
        <v>-15</v>
      </c>
      <c r="E26" s="32" t="n">
        <f aca="false">IF(B26=0,"",C26/B26)</f>
        <v>0</v>
      </c>
      <c r="F26" s="6"/>
    </row>
    <row r="27" customFormat="false" ht="15" hidden="false" customHeight="false" outlineLevel="0" collapsed="false">
      <c r="A27" s="21" t="str">
        <f aca="false">'Req 2 Budget'!A29</f>
        <v>Savings — goal (Req 1 / other)</v>
      </c>
      <c r="B27" s="31" t="n">
        <f aca="false">'Req 2 Budget'!O29</f>
        <v>20</v>
      </c>
      <c r="C27" s="31" t="n">
        <f aca="false">'Req 2 Actual'!O29</f>
        <v>0</v>
      </c>
      <c r="D27" s="24" t="n">
        <f aca="false">C27-B27</f>
        <v>-20</v>
      </c>
      <c r="E27" s="32" t="n">
        <f aca="false">IF(B27=0,"",C27/B27)</f>
        <v>0</v>
      </c>
      <c r="F27" s="6"/>
    </row>
    <row r="28" customFormat="false" ht="15" hidden="false" customHeight="false" outlineLevel="0" collapsed="false">
      <c r="A28" s="28" t="str">
        <f aca="false">'Req 2 Budget'!A30</f>
        <v>TOTAL SAVINGS</v>
      </c>
      <c r="B28" s="33" t="n">
        <f aca="false">'Req 2 Budget'!O30</f>
        <v>35</v>
      </c>
      <c r="C28" s="33" t="n">
        <f aca="false">'Req 2 Actual'!O30</f>
        <v>0</v>
      </c>
      <c r="D28" s="22" t="n">
        <f aca="false">C28-B28</f>
        <v>-35</v>
      </c>
      <c r="E28" s="18" t="n">
        <f aca="false">IF(B28=0,"",C28/B28)</f>
        <v>0</v>
      </c>
    </row>
    <row r="30" customFormat="false" ht="15" hidden="false" customHeight="false" outlineLevel="0" collapsed="false">
      <c r="A30" s="19" t="s">
        <v>216</v>
      </c>
      <c r="B30" s="19" t="s">
        <v>217</v>
      </c>
      <c r="C30" s="19" t="s">
        <v>218</v>
      </c>
      <c r="D30" s="19" t="s">
        <v>219</v>
      </c>
      <c r="E30" s="19" t="s">
        <v>220</v>
      </c>
      <c r="F30" s="19" t="s">
        <v>221</v>
      </c>
    </row>
    <row r="31" customFormat="false" ht="15" hidden="false" customHeight="false" outlineLevel="0" collapsed="false">
      <c r="A31" s="21" t="str">
        <f aca="false">"Wk 1 ("&amp;TEXT('Req 2 Budget'!B5,"mm/dd")&amp;")"</f>
        <v>Wk 1 (10/12)</v>
      </c>
      <c r="B31" s="24" t="n">
        <f aca="false">'Req 2 Budget'!B32</f>
        <v>0</v>
      </c>
      <c r="C31" s="24" t="n">
        <f aca="false">'Req 2 Actual'!B32</f>
        <v>0</v>
      </c>
      <c r="D31" s="24" t="n">
        <f aca="false">C31-B31</f>
        <v>0</v>
      </c>
      <c r="E31" s="21" t="str">
        <f aca="false">IF(COUNT('Req 2 Actual'!B8:B29)=0,"",IF(C31&gt;=0,"Yes","No — overspent"))</f>
        <v>Yes</v>
      </c>
      <c r="F31" s="6"/>
    </row>
    <row r="32" customFormat="false" ht="15" hidden="false" customHeight="false" outlineLevel="0" collapsed="false">
      <c r="A32" s="21" t="str">
        <f aca="false">"Wk 2 ("&amp;TEXT('Req 2 Budget'!C5,"mm/dd")&amp;")"</f>
        <v>Wk 2 (10/19)</v>
      </c>
      <c r="B32" s="24" t="n">
        <f aca="false">'Req 2 Budget'!C32</f>
        <v>0</v>
      </c>
      <c r="C32" s="24" t="n">
        <f aca="false">'Req 2 Actual'!C32</f>
        <v>0</v>
      </c>
      <c r="D32" s="24" t="n">
        <f aca="false">C32-B32</f>
        <v>0</v>
      </c>
      <c r="E32" s="21" t="str">
        <f aca="false">IF(COUNT('Req 2 Actual'!C8:C29)=0,"",IF(C32&gt;=0,"Yes","No — overspent"))</f>
        <v>Yes</v>
      </c>
      <c r="F32" s="6"/>
    </row>
    <row r="33" customFormat="false" ht="15" hidden="false" customHeight="false" outlineLevel="0" collapsed="false">
      <c r="A33" s="21" t="str">
        <f aca="false">"Wk 3 ("&amp;TEXT('Req 2 Budget'!D5,"mm/dd")&amp;")"</f>
        <v>Wk 3 (10/26)</v>
      </c>
      <c r="B33" s="24" t="n">
        <f aca="false">'Req 2 Budget'!D32</f>
        <v>0</v>
      </c>
      <c r="C33" s="24" t="n">
        <f aca="false">'Req 2 Actual'!D32</f>
        <v>0</v>
      </c>
      <c r="D33" s="24" t="n">
        <f aca="false">C33-B33</f>
        <v>0</v>
      </c>
      <c r="E33" s="21" t="str">
        <f aca="false">IF(COUNT('Req 2 Actual'!D8:D29)=0,"",IF(C33&gt;=0,"Yes","No — overspent"))</f>
        <v>Yes</v>
      </c>
      <c r="F33" s="6"/>
    </row>
    <row r="34" customFormat="false" ht="15" hidden="false" customHeight="false" outlineLevel="0" collapsed="false">
      <c r="A34" s="21" t="str">
        <f aca="false">"Wk 4 ("&amp;TEXT('Req 2 Budget'!E5,"mm/dd")&amp;")"</f>
        <v>Wk 4 (11/02)</v>
      </c>
      <c r="B34" s="24" t="n">
        <f aca="false">'Req 2 Budget'!E32</f>
        <v>0</v>
      </c>
      <c r="C34" s="24" t="n">
        <f aca="false">'Req 2 Actual'!E32</f>
        <v>0</v>
      </c>
      <c r="D34" s="24" t="n">
        <f aca="false">C34-B34</f>
        <v>0</v>
      </c>
      <c r="E34" s="21" t="str">
        <f aca="false">IF(COUNT('Req 2 Actual'!E8:E29)=0,"",IF(C34&gt;=0,"Yes","No — overspent"))</f>
        <v>Yes</v>
      </c>
      <c r="F34" s="6"/>
    </row>
    <row r="35" customFormat="false" ht="15" hidden="false" customHeight="false" outlineLevel="0" collapsed="false">
      <c r="A35" s="21" t="str">
        <f aca="false">"Wk 5 ("&amp;TEXT('Req 2 Budget'!F5,"mm/dd")&amp;")"</f>
        <v>Wk 5 (11/09)</v>
      </c>
      <c r="B35" s="24" t="n">
        <f aca="false">'Req 2 Budget'!F32</f>
        <v>0</v>
      </c>
      <c r="C35" s="24" t="n">
        <f aca="false">'Req 2 Actual'!F32</f>
        <v>0</v>
      </c>
      <c r="D35" s="24" t="n">
        <f aca="false">C35-B35</f>
        <v>0</v>
      </c>
      <c r="E35" s="21" t="str">
        <f aca="false">IF(COUNT('Req 2 Actual'!F8:F29)=0,"",IF(C35&gt;=0,"Yes","No — overspent"))</f>
        <v>Yes</v>
      </c>
      <c r="F35" s="6"/>
    </row>
    <row r="36" customFormat="false" ht="15" hidden="false" customHeight="false" outlineLevel="0" collapsed="false">
      <c r="A36" s="21" t="str">
        <f aca="false">"Wk 6 ("&amp;TEXT('Req 2 Budget'!G5,"mm/dd")&amp;")"</f>
        <v>Wk 6 (11/16)</v>
      </c>
      <c r="B36" s="24" t="n">
        <f aca="false">'Req 2 Budget'!G32</f>
        <v>0</v>
      </c>
      <c r="C36" s="24" t="n">
        <f aca="false">'Req 2 Actual'!G32</f>
        <v>0</v>
      </c>
      <c r="D36" s="24" t="n">
        <f aca="false">C36-B36</f>
        <v>0</v>
      </c>
      <c r="E36" s="21" t="str">
        <f aca="false">IF(COUNT('Req 2 Actual'!G8:G29)=0,"",IF(C36&gt;=0,"Yes","No — overspent"))</f>
        <v>Yes</v>
      </c>
      <c r="F36" s="6"/>
    </row>
    <row r="37" customFormat="false" ht="15" hidden="false" customHeight="false" outlineLevel="0" collapsed="false">
      <c r="A37" s="21" t="str">
        <f aca="false">"Wk 7 ("&amp;TEXT('Req 2 Budget'!H5,"mm/dd")&amp;")"</f>
        <v>Wk 7 (11/23)</v>
      </c>
      <c r="B37" s="24" t="n">
        <f aca="false">'Req 2 Budget'!H32</f>
        <v>0</v>
      </c>
      <c r="C37" s="24" t="n">
        <f aca="false">'Req 2 Actual'!H32</f>
        <v>0</v>
      </c>
      <c r="D37" s="24" t="n">
        <f aca="false">C37-B37</f>
        <v>0</v>
      </c>
      <c r="E37" s="21" t="str">
        <f aca="false">IF(COUNT('Req 2 Actual'!H8:H29)=0,"",IF(C37&gt;=0,"Yes","No — overspent"))</f>
        <v>Yes</v>
      </c>
      <c r="F37" s="6"/>
    </row>
    <row r="38" customFormat="false" ht="15" hidden="false" customHeight="false" outlineLevel="0" collapsed="false">
      <c r="A38" s="21" t="str">
        <f aca="false">"Wk 8 ("&amp;TEXT('Req 2 Budget'!I5,"mm/dd")&amp;")"</f>
        <v>Wk 8 (11/30)</v>
      </c>
      <c r="B38" s="24" t="n">
        <f aca="false">'Req 2 Budget'!I32</f>
        <v>0</v>
      </c>
      <c r="C38" s="24" t="n">
        <f aca="false">'Req 2 Actual'!I32</f>
        <v>0</v>
      </c>
      <c r="D38" s="24" t="n">
        <f aca="false">C38-B38</f>
        <v>0</v>
      </c>
      <c r="E38" s="21" t="str">
        <f aca="false">IF(COUNT('Req 2 Actual'!I8:I29)=0,"",IF(C38&gt;=0,"Yes","No — overspent"))</f>
        <v>Yes</v>
      </c>
      <c r="F38" s="6"/>
    </row>
    <row r="39" customFormat="false" ht="15" hidden="false" customHeight="false" outlineLevel="0" collapsed="false">
      <c r="A39" s="21" t="str">
        <f aca="false">"Wk 9 ("&amp;TEXT('Req 2 Budget'!J5,"mm/dd")&amp;")"</f>
        <v>Wk 9 (12/07)</v>
      </c>
      <c r="B39" s="24" t="n">
        <f aca="false">'Req 2 Budget'!J32</f>
        <v>0</v>
      </c>
      <c r="C39" s="24" t="n">
        <f aca="false">'Req 2 Actual'!J32</f>
        <v>0</v>
      </c>
      <c r="D39" s="24" t="n">
        <f aca="false">C39-B39</f>
        <v>0</v>
      </c>
      <c r="E39" s="21" t="str">
        <f aca="false">IF(COUNT('Req 2 Actual'!J8:J29)=0,"",IF(C39&gt;=0,"Yes","No — overspent"))</f>
        <v>Yes</v>
      </c>
      <c r="F39" s="6"/>
    </row>
    <row r="40" customFormat="false" ht="15" hidden="false" customHeight="false" outlineLevel="0" collapsed="false">
      <c r="A40" s="21" t="str">
        <f aca="false">"Wk 10 ("&amp;TEXT('Req 2 Budget'!K5,"mm/dd")&amp;")"</f>
        <v>Wk 10 (12/14)</v>
      </c>
      <c r="B40" s="24" t="n">
        <f aca="false">'Req 2 Budget'!K32</f>
        <v>0</v>
      </c>
      <c r="C40" s="24" t="n">
        <f aca="false">'Req 2 Actual'!K32</f>
        <v>0</v>
      </c>
      <c r="D40" s="24" t="n">
        <f aca="false">C40-B40</f>
        <v>0</v>
      </c>
      <c r="E40" s="21" t="str">
        <f aca="false">IF(COUNT('Req 2 Actual'!K8:K29)=0,"",IF(C40&gt;=0,"Yes","No — overspent"))</f>
        <v>Yes</v>
      </c>
      <c r="F40" s="6"/>
    </row>
    <row r="41" customFormat="false" ht="15" hidden="false" customHeight="false" outlineLevel="0" collapsed="false">
      <c r="A41" s="21" t="str">
        <f aca="false">"Wk 11 ("&amp;TEXT('Req 2 Budget'!L5,"mm/dd")&amp;")"</f>
        <v>Wk 11 (12/21)</v>
      </c>
      <c r="B41" s="24" t="n">
        <f aca="false">'Req 2 Budget'!L32</f>
        <v>0</v>
      </c>
      <c r="C41" s="24" t="n">
        <f aca="false">'Req 2 Actual'!L32</f>
        <v>0</v>
      </c>
      <c r="D41" s="24" t="n">
        <f aca="false">C41-B41</f>
        <v>0</v>
      </c>
      <c r="E41" s="21" t="str">
        <f aca="false">IF(COUNT('Req 2 Actual'!L8:L29)=0,"",IF(C41&gt;=0,"Yes","No — overspent"))</f>
        <v>Yes</v>
      </c>
      <c r="F41" s="6"/>
    </row>
    <row r="42" customFormat="false" ht="15" hidden="false" customHeight="false" outlineLevel="0" collapsed="false">
      <c r="A42" s="21" t="str">
        <f aca="false">"Wk 12 ("&amp;TEXT('Req 2 Budget'!M5,"mm/dd")&amp;")"</f>
        <v>Wk 12 (12/28)</v>
      </c>
      <c r="B42" s="24" t="n">
        <f aca="false">'Req 2 Budget'!M32</f>
        <v>0</v>
      </c>
      <c r="C42" s="24" t="n">
        <f aca="false">'Req 2 Actual'!M32</f>
        <v>0</v>
      </c>
      <c r="D42" s="24" t="n">
        <f aca="false">C42-B42</f>
        <v>0</v>
      </c>
      <c r="E42" s="21" t="str">
        <f aca="false">IF(COUNT('Req 2 Actual'!M8:M29)=0,"",IF(C42&gt;=0,"Yes","No — overspent"))</f>
        <v>Yes</v>
      </c>
      <c r="F42" s="6"/>
    </row>
    <row r="43" customFormat="false" ht="15" hidden="false" customHeight="false" outlineLevel="0" collapsed="false">
      <c r="A43" s="21" t="str">
        <f aca="false">"Wk 13 ("&amp;TEXT('Req 2 Budget'!N5,"mm/dd")&amp;")"</f>
        <v>Wk 13 (01/04)</v>
      </c>
      <c r="B43" s="24" t="n">
        <f aca="false">'Req 2 Budget'!N32</f>
        <v>0</v>
      </c>
      <c r="C43" s="24" t="n">
        <f aca="false">'Req 2 Actual'!N32</f>
        <v>0</v>
      </c>
      <c r="D43" s="24" t="n">
        <f aca="false">C43-B43</f>
        <v>0</v>
      </c>
      <c r="E43" s="21" t="str">
        <f aca="false">IF(COUNT('Req 2 Actual'!N8:N29)=0,"",IF(C43&gt;=0,"Yes","No — overspent"))</f>
        <v>Yes</v>
      </c>
      <c r="F43" s="6"/>
    </row>
    <row r="45" customFormat="false" ht="49.5" hidden="false" customHeight="true" outlineLevel="0" collapsed="false">
      <c r="A45" s="29" t="s">
        <v>222</v>
      </c>
      <c r="B45" s="6"/>
      <c r="C45" s="6"/>
      <c r="D45" s="6"/>
      <c r="E45" s="6"/>
      <c r="F45" s="6"/>
    </row>
    <row r="46" customFormat="false" ht="49.5" hidden="false" customHeight="true" outlineLevel="0" collapsed="false">
      <c r="A46" s="29" t="s">
        <v>223</v>
      </c>
      <c r="B46" s="6"/>
      <c r="C46" s="6"/>
      <c r="D46" s="6"/>
      <c r="E46" s="6"/>
      <c r="F46" s="6"/>
    </row>
    <row r="47" customFormat="false" ht="49.5" hidden="false" customHeight="true" outlineLevel="0" collapsed="false">
      <c r="A47" s="29" t="s">
        <v>224</v>
      </c>
      <c r="B47" s="6"/>
      <c r="C47" s="6"/>
      <c r="D47" s="6"/>
      <c r="E47" s="6"/>
      <c r="F47" s="6"/>
    </row>
  </sheetData>
  <mergeCells count="3">
    <mergeCell ref="B45:F45"/>
    <mergeCell ref="B46:F46"/>
    <mergeCell ref="B47:F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3" min="3" style="0" width="10"/>
    <col collapsed="false" customWidth="true" hidden="false" outlineLevel="0" max="4" min="4" style="0" width="50"/>
    <col collapsed="false" customWidth="true" hidden="false" outlineLevel="0" max="5" min="5" style="0" width="14"/>
  </cols>
  <sheetData>
    <row r="1" customFormat="false" ht="19.7" hidden="false" customHeight="false" outlineLevel="0" collapsed="false">
      <c r="A1" s="1" t="s">
        <v>225</v>
      </c>
    </row>
    <row r="2" customFormat="false" ht="15" hidden="false" customHeight="false" outlineLevel="0" collapsed="false">
      <c r="A2" s="2" t="s">
        <v>226</v>
      </c>
    </row>
    <row r="4" customFormat="false" ht="15" hidden="false" customHeight="false" outlineLevel="0" collapsed="false">
      <c r="A4" s="3" t="s">
        <v>227</v>
      </c>
      <c r="B4" s="4"/>
      <c r="C4" s="4"/>
      <c r="D4" s="4"/>
      <c r="E4" s="4"/>
    </row>
    <row r="5" customFormat="false" ht="26.85" hidden="false" customHeight="false" outlineLevel="0" collapsed="false">
      <c r="A5" s="19" t="s">
        <v>228</v>
      </c>
      <c r="B5" s="19" t="s">
        <v>229</v>
      </c>
      <c r="C5" s="19" t="s">
        <v>230</v>
      </c>
      <c r="D5" s="19" t="s">
        <v>231</v>
      </c>
      <c r="E5" s="19" t="s">
        <v>232</v>
      </c>
    </row>
    <row r="6" customFormat="false" ht="45" hidden="false" customHeight="true" outlineLevel="0" collapsed="false">
      <c r="A6" s="20" t="s">
        <v>233</v>
      </c>
      <c r="B6" s="21" t="s">
        <v>234</v>
      </c>
      <c r="C6" s="6"/>
      <c r="D6" s="6"/>
      <c r="E6" s="34"/>
    </row>
    <row r="7" customFormat="false" ht="45" hidden="false" customHeight="true" outlineLevel="0" collapsed="false">
      <c r="A7" s="20" t="s">
        <v>235</v>
      </c>
      <c r="B7" s="21" t="s">
        <v>236</v>
      </c>
      <c r="C7" s="6"/>
      <c r="D7" s="6"/>
      <c r="E7" s="34"/>
    </row>
    <row r="8" customFormat="false" ht="45" hidden="false" customHeight="true" outlineLevel="0" collapsed="false">
      <c r="A8" s="20" t="s">
        <v>237</v>
      </c>
      <c r="B8" s="21" t="s">
        <v>238</v>
      </c>
      <c r="C8" s="6"/>
      <c r="D8" s="6"/>
      <c r="E8" s="34"/>
    </row>
    <row r="9" customFormat="false" ht="45" hidden="false" customHeight="true" outlineLevel="0" collapsed="false">
      <c r="A9" s="20" t="s">
        <v>239</v>
      </c>
      <c r="B9" s="21" t="s">
        <v>240</v>
      </c>
      <c r="C9" s="6"/>
      <c r="D9" s="6"/>
      <c r="E9" s="34"/>
    </row>
    <row r="10" customFormat="false" ht="45" hidden="false" customHeight="true" outlineLevel="0" collapsed="false">
      <c r="A10" s="20" t="s">
        <v>241</v>
      </c>
      <c r="B10" s="21" t="s">
        <v>242</v>
      </c>
      <c r="C10" s="6"/>
      <c r="D10" s="6"/>
      <c r="E10" s="34"/>
    </row>
    <row r="11" customFormat="false" ht="45" hidden="false" customHeight="true" outlineLevel="0" collapsed="false">
      <c r="A11" s="20" t="s">
        <v>243</v>
      </c>
      <c r="B11" s="21" t="s">
        <v>244</v>
      </c>
      <c r="C11" s="6"/>
      <c r="D11" s="6"/>
      <c r="E11" s="34"/>
    </row>
    <row r="12" customFormat="false" ht="45" hidden="false" customHeight="true" outlineLevel="0" collapsed="false">
      <c r="A12" s="20" t="s">
        <v>245</v>
      </c>
      <c r="B12" s="21" t="s">
        <v>246</v>
      </c>
      <c r="C12" s="6"/>
      <c r="D12" s="6"/>
      <c r="E12" s="34"/>
    </row>
    <row r="13" customFormat="false" ht="45" hidden="false" customHeight="true" outlineLevel="0" collapsed="false">
      <c r="A13" s="20" t="s">
        <v>247</v>
      </c>
      <c r="B13" s="21" t="s">
        <v>248</v>
      </c>
      <c r="C13" s="6"/>
      <c r="D13" s="6"/>
      <c r="E13" s="34"/>
    </row>
    <row r="14" customFormat="false" ht="45" hidden="false" customHeight="true" outlineLevel="0" collapsed="false">
      <c r="A14" s="20" t="s">
        <v>249</v>
      </c>
      <c r="B14" s="21" t="s">
        <v>250</v>
      </c>
      <c r="C14" s="6"/>
      <c r="D14" s="6"/>
      <c r="E14" s="34"/>
    </row>
    <row r="15" customFormat="false" ht="45" hidden="false" customHeight="true" outlineLevel="0" collapsed="false">
      <c r="A15" s="20" t="s">
        <v>251</v>
      </c>
      <c r="B15" s="21" t="s">
        <v>252</v>
      </c>
      <c r="C15" s="6"/>
      <c r="D15" s="6"/>
      <c r="E15" s="34"/>
    </row>
    <row r="16" customFormat="false" ht="15" hidden="false" customHeight="false" outlineLevel="0" collapsed="false">
      <c r="B16" s="17" t="s">
        <v>253</v>
      </c>
      <c r="C16" s="20" t="str">
        <f aca="false">COUNTIF(C6:C15,"Yes")&amp;" / 5"</f>
        <v>0 / 5</v>
      </c>
      <c r="D16" s="21" t="str">
        <f aca="false">IF(COUNTIF(C6:C15,"Yes")=5,"✓ Ready",IF(COUNTIF(C6:C15,"Yes")&gt;5,"Only five needed","Pick "&amp;(5-COUNTIF(C6:C15,"Yes"))&amp;" more"))</f>
        <v>Pick 5 more</v>
      </c>
    </row>
    <row r="17" customFormat="false" ht="15" hidden="false" customHeight="false" outlineLevel="0" collapsed="false">
      <c r="B17" s="2" t="s">
        <v>254</v>
      </c>
    </row>
    <row r="19" customFormat="false" ht="15" hidden="false" customHeight="false" outlineLevel="0" collapsed="false">
      <c r="A19" s="3" t="s">
        <v>255</v>
      </c>
      <c r="B19" s="4"/>
      <c r="C19" s="4"/>
      <c r="D19" s="4"/>
      <c r="E19" s="4"/>
    </row>
    <row r="20" customFormat="false" ht="26.85" hidden="false" customHeight="false" outlineLevel="0" collapsed="false">
      <c r="A20" s="19" t="s">
        <v>228</v>
      </c>
      <c r="B20" s="19" t="s">
        <v>229</v>
      </c>
      <c r="C20" s="19" t="s">
        <v>256</v>
      </c>
      <c r="D20" s="19" t="s">
        <v>231</v>
      </c>
      <c r="E20" s="19" t="s">
        <v>232</v>
      </c>
    </row>
    <row r="21" customFormat="false" ht="45" hidden="false" customHeight="true" outlineLevel="0" collapsed="false">
      <c r="A21" s="20" t="s">
        <v>257</v>
      </c>
      <c r="B21" s="21" t="s">
        <v>258</v>
      </c>
      <c r="C21" s="6"/>
      <c r="D21" s="6"/>
      <c r="E21" s="34"/>
    </row>
    <row r="22" customFormat="false" ht="45" hidden="false" customHeight="true" outlineLevel="0" collapsed="false">
      <c r="A22" s="20" t="s">
        <v>259</v>
      </c>
      <c r="B22" s="21" t="s">
        <v>260</v>
      </c>
      <c r="C22" s="6"/>
      <c r="D22" s="6"/>
      <c r="E22" s="34"/>
    </row>
    <row r="23" customFormat="false" ht="45" hidden="false" customHeight="true" outlineLevel="0" collapsed="false">
      <c r="A23" s="20" t="s">
        <v>261</v>
      </c>
      <c r="B23" s="21" t="s">
        <v>262</v>
      </c>
      <c r="C23" s="6"/>
      <c r="D23" s="6"/>
      <c r="E23" s="34"/>
    </row>
    <row r="24" customFormat="false" ht="45" hidden="false" customHeight="true" outlineLevel="0" collapsed="false">
      <c r="A24" s="20" t="s">
        <v>263</v>
      </c>
      <c r="B24" s="21" t="s">
        <v>264</v>
      </c>
      <c r="C24" s="6"/>
      <c r="D24" s="6"/>
      <c r="E24" s="34"/>
    </row>
    <row r="25" customFormat="false" ht="45" hidden="false" customHeight="true" outlineLevel="0" collapsed="false">
      <c r="A25" s="20" t="s">
        <v>265</v>
      </c>
      <c r="B25" s="21" t="s">
        <v>266</v>
      </c>
      <c r="C25" s="6"/>
      <c r="D25" s="6"/>
      <c r="E25" s="34"/>
    </row>
    <row r="27" customFormat="false" ht="15" hidden="false" customHeight="false" outlineLevel="0" collapsed="false">
      <c r="A27" s="3" t="s">
        <v>267</v>
      </c>
      <c r="B27" s="4"/>
      <c r="C27" s="4"/>
      <c r="D27" s="4"/>
      <c r="E27" s="4"/>
    </row>
    <row r="28" customFormat="false" ht="26.85" hidden="false" customHeight="false" outlineLevel="0" collapsed="false">
      <c r="A28" s="19" t="s">
        <v>228</v>
      </c>
      <c r="B28" s="19" t="s">
        <v>229</v>
      </c>
      <c r="C28" s="19" t="s">
        <v>256</v>
      </c>
      <c r="D28" s="19" t="s">
        <v>231</v>
      </c>
      <c r="E28" s="19" t="s">
        <v>232</v>
      </c>
    </row>
    <row r="29" customFormat="false" ht="45" hidden="false" customHeight="true" outlineLevel="0" collapsed="false">
      <c r="A29" s="20" t="s">
        <v>268</v>
      </c>
      <c r="B29" s="21" t="s">
        <v>269</v>
      </c>
      <c r="C29" s="6"/>
      <c r="D29" s="6"/>
      <c r="E29" s="34"/>
    </row>
    <row r="30" customFormat="false" ht="45" hidden="false" customHeight="true" outlineLevel="0" collapsed="false">
      <c r="A30" s="20" t="s">
        <v>270</v>
      </c>
      <c r="B30" s="21" t="s">
        <v>271</v>
      </c>
      <c r="C30" s="6"/>
      <c r="D30" s="6"/>
      <c r="E30" s="34"/>
    </row>
    <row r="31" customFormat="false" ht="45" hidden="false" customHeight="true" outlineLevel="0" collapsed="false">
      <c r="A31" s="20" t="s">
        <v>272</v>
      </c>
      <c r="B31" s="21" t="s">
        <v>273</v>
      </c>
      <c r="C31" s="6"/>
      <c r="D31" s="6"/>
      <c r="E31" s="34"/>
    </row>
    <row r="32" customFormat="false" ht="45" hidden="false" customHeight="true" outlineLevel="0" collapsed="false">
      <c r="A32" s="20" t="s">
        <v>274</v>
      </c>
      <c r="B32" s="21" t="s">
        <v>275</v>
      </c>
      <c r="C32" s="6"/>
      <c r="D32" s="6"/>
      <c r="E32" s="34"/>
    </row>
    <row r="33" customFormat="false" ht="45" hidden="false" customHeight="true" outlineLevel="0" collapsed="false">
      <c r="A33" s="20" t="s">
        <v>276</v>
      </c>
      <c r="B33" s="21" t="s">
        <v>277</v>
      </c>
      <c r="C33" s="6"/>
      <c r="D33" s="6"/>
      <c r="E33" s="34"/>
    </row>
    <row r="34" customFormat="false" ht="45" hidden="false" customHeight="true" outlineLevel="0" collapsed="false">
      <c r="A34" s="20" t="s">
        <v>278</v>
      </c>
      <c r="B34" s="21" t="s">
        <v>279</v>
      </c>
      <c r="C34" s="6"/>
      <c r="D34" s="6"/>
      <c r="E34" s="34"/>
    </row>
    <row r="36" customFormat="false" ht="15" hidden="false" customHeight="false" outlineLevel="0" collapsed="false">
      <c r="A36" s="3" t="s">
        <v>280</v>
      </c>
      <c r="B36" s="4"/>
      <c r="C36" s="4"/>
      <c r="D36" s="4"/>
      <c r="E36" s="4"/>
    </row>
    <row r="37" customFormat="false" ht="26.85" hidden="false" customHeight="false" outlineLevel="0" collapsed="false">
      <c r="A37" s="19" t="s">
        <v>228</v>
      </c>
      <c r="B37" s="19" t="s">
        <v>229</v>
      </c>
      <c r="C37" s="19" t="s">
        <v>256</v>
      </c>
      <c r="D37" s="19" t="s">
        <v>231</v>
      </c>
      <c r="E37" s="19" t="s">
        <v>232</v>
      </c>
    </row>
    <row r="38" customFormat="false" ht="45" hidden="false" customHeight="true" outlineLevel="0" collapsed="false">
      <c r="A38" s="20" t="s">
        <v>281</v>
      </c>
      <c r="B38" s="21" t="s">
        <v>282</v>
      </c>
      <c r="C38" s="6"/>
      <c r="D38" s="6"/>
      <c r="E38" s="34"/>
    </row>
    <row r="39" customFormat="false" ht="45" hidden="false" customHeight="true" outlineLevel="0" collapsed="false">
      <c r="A39" s="20" t="s">
        <v>283</v>
      </c>
      <c r="B39" s="21" t="s">
        <v>284</v>
      </c>
      <c r="C39" s="6"/>
      <c r="D39" s="6"/>
      <c r="E39" s="34"/>
    </row>
    <row r="40" customFormat="false" ht="45" hidden="false" customHeight="true" outlineLevel="0" collapsed="false">
      <c r="A40" s="20" t="s">
        <v>285</v>
      </c>
      <c r="B40" s="21" t="s">
        <v>286</v>
      </c>
      <c r="C40" s="6"/>
      <c r="D40" s="6"/>
      <c r="E40" s="34"/>
    </row>
    <row r="41" customFormat="false" ht="45" hidden="false" customHeight="true" outlineLevel="0" collapsed="false">
      <c r="A41" s="20" t="s">
        <v>287</v>
      </c>
      <c r="B41" s="21" t="s">
        <v>288</v>
      </c>
      <c r="C41" s="6"/>
      <c r="D41" s="6"/>
      <c r="E41" s="34"/>
    </row>
    <row r="43" customFormat="false" ht="15" hidden="false" customHeight="false" outlineLevel="0" collapsed="false">
      <c r="A43" s="3" t="s">
        <v>289</v>
      </c>
      <c r="B43" s="4"/>
      <c r="C43" s="4"/>
      <c r="D43" s="4"/>
      <c r="E43" s="4"/>
    </row>
    <row r="44" customFormat="false" ht="26.85" hidden="false" customHeight="false" outlineLevel="0" collapsed="false">
      <c r="A44" s="19" t="s">
        <v>228</v>
      </c>
      <c r="B44" s="19" t="s">
        <v>229</v>
      </c>
      <c r="C44" s="19" t="s">
        <v>256</v>
      </c>
      <c r="D44" s="19" t="s">
        <v>231</v>
      </c>
      <c r="E44" s="19" t="s">
        <v>232</v>
      </c>
    </row>
    <row r="45" customFormat="false" ht="45" hidden="false" customHeight="true" outlineLevel="0" collapsed="false">
      <c r="A45" s="20" t="s">
        <v>290</v>
      </c>
      <c r="B45" s="21" t="s">
        <v>291</v>
      </c>
      <c r="C45" s="6"/>
      <c r="D45" s="6"/>
      <c r="E45" s="34"/>
    </row>
    <row r="46" customFormat="false" ht="45" hidden="false" customHeight="true" outlineLevel="0" collapsed="false">
      <c r="A46" s="20" t="s">
        <v>292</v>
      </c>
      <c r="B46" s="21" t="s">
        <v>293</v>
      </c>
      <c r="C46" s="6"/>
      <c r="D46" s="6"/>
      <c r="E46" s="34"/>
    </row>
    <row r="47" customFormat="false" ht="45" hidden="false" customHeight="true" outlineLevel="0" collapsed="false">
      <c r="A47" s="20" t="s">
        <v>294</v>
      </c>
      <c r="B47" s="21" t="s">
        <v>295</v>
      </c>
      <c r="C47" s="6"/>
      <c r="D47" s="6"/>
      <c r="E47" s="34"/>
    </row>
    <row r="48" customFormat="false" ht="45" hidden="false" customHeight="true" outlineLevel="0" collapsed="false">
      <c r="A48" s="20" t="s">
        <v>296</v>
      </c>
      <c r="B48" s="21" t="s">
        <v>297</v>
      </c>
      <c r="C48" s="6"/>
      <c r="D48" s="6"/>
      <c r="E48" s="34"/>
    </row>
    <row r="49" customFormat="false" ht="45" hidden="false" customHeight="true" outlineLevel="0" collapsed="false">
      <c r="A49" s="20" t="s">
        <v>298</v>
      </c>
      <c r="B49" s="21" t="s">
        <v>299</v>
      </c>
      <c r="C49" s="6"/>
      <c r="D49" s="6"/>
      <c r="E49" s="34"/>
    </row>
  </sheetData>
  <dataValidations count="1">
    <dataValidation allowBlank="true" errorStyle="stop" operator="between" showDropDown="false" showErrorMessage="false" showInputMessage="false" sqref="C6:C15 C21:C25 C29:C34 C38:C41 C45:C4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6"/>
  </cols>
  <sheetData>
    <row r="1" customFormat="false" ht="19.7" hidden="false" customHeight="false" outlineLevel="0" collapsed="false">
      <c r="A1" s="1" t="s">
        <v>300</v>
      </c>
    </row>
    <row r="2" customFormat="false" ht="15" hidden="false" customHeight="false" outlineLevel="0" collapsed="false">
      <c r="A2" s="2" t="s">
        <v>301</v>
      </c>
    </row>
    <row r="4" customFormat="false" ht="15" hidden="false" customHeight="false" outlineLevel="0" collapsed="false">
      <c r="A4" s="5" t="s">
        <v>302</v>
      </c>
      <c r="B4" s="23" t="n">
        <v>1000</v>
      </c>
    </row>
    <row r="5" customFormat="false" ht="15" hidden="false" customHeight="false" outlineLevel="0" collapsed="false">
      <c r="A5" s="5" t="s">
        <v>303</v>
      </c>
      <c r="B5" s="35" t="n">
        <v>0.05</v>
      </c>
      <c r="C5" s="2" t="s">
        <v>304</v>
      </c>
    </row>
    <row r="6" customFormat="false" ht="15" hidden="false" customHeight="false" outlineLevel="0" collapsed="false">
      <c r="A6" s="5" t="s">
        <v>305</v>
      </c>
      <c r="B6" s="23" t="n">
        <v>0</v>
      </c>
    </row>
    <row r="7" customFormat="false" ht="15" hidden="false" customHeight="false" outlineLevel="0" collapsed="false">
      <c r="A7" s="5" t="s">
        <v>306</v>
      </c>
      <c r="B7" s="36" t="n">
        <v>20</v>
      </c>
    </row>
    <row r="9" customFormat="false" ht="39.55" hidden="false" customHeight="false" outlineLevel="0" collapsed="false">
      <c r="A9" s="19" t="s">
        <v>307</v>
      </c>
      <c r="B9" s="19" t="s">
        <v>308</v>
      </c>
      <c r="C9" s="19" t="s">
        <v>309</v>
      </c>
      <c r="D9" s="19" t="s">
        <v>310</v>
      </c>
      <c r="E9" s="19" t="s">
        <v>311</v>
      </c>
    </row>
    <row r="10" customFormat="false" ht="15" hidden="false" customHeight="false" outlineLevel="0" collapsed="false">
      <c r="A10" s="10" t="n">
        <v>0</v>
      </c>
      <c r="B10" s="24" t="n">
        <f aca="false">IF(A10&gt;$B$7,"",$B$4*(1+$B$5*A10)+$B$6*A10+$B$6*$B$5*A10*(A10-1)/2)</f>
        <v>1000</v>
      </c>
      <c r="C10" s="24" t="n">
        <f aca="false">$B$4</f>
        <v>1000</v>
      </c>
      <c r="D10" s="24" t="n">
        <f aca="false">IF(A10&gt;$B$7,"",C10-B10)</f>
        <v>0</v>
      </c>
      <c r="E10" s="24" t="n">
        <f aca="false">IF(A10&gt;$B$7,"",$B$4+$B$6*A10)</f>
        <v>1000</v>
      </c>
    </row>
    <row r="11" customFormat="false" ht="15" hidden="false" customHeight="false" outlineLevel="0" collapsed="false">
      <c r="A11" s="10" t="n">
        <v>1</v>
      </c>
      <c r="B11" s="24" t="n">
        <f aca="false">IF(A11&gt;$B$7,"",$B$4*(1+$B$5*A11)+$B$6*A11+$B$6*$B$5*A11*(A11-1)/2)</f>
        <v>1050</v>
      </c>
      <c r="C11" s="24" t="n">
        <f aca="false">IF(A11&gt;$B$7,"",IF(A11=0,$B$4,C10*(1+$B$5)+$B$6))</f>
        <v>1050</v>
      </c>
      <c r="D11" s="24" t="n">
        <f aca="false">IF(A11&gt;$B$7,"",C11-B11)</f>
        <v>0</v>
      </c>
      <c r="E11" s="24" t="n">
        <f aca="false">IF(A11&gt;$B$7,"",$B$4+$B$6*A11)</f>
        <v>1000</v>
      </c>
    </row>
    <row r="12" customFormat="false" ht="15" hidden="false" customHeight="false" outlineLevel="0" collapsed="false">
      <c r="A12" s="10" t="n">
        <v>2</v>
      </c>
      <c r="B12" s="24" t="n">
        <f aca="false">IF(A12&gt;$B$7,"",$B$4*(1+$B$5*A12)+$B$6*A12+$B$6*$B$5*A12*(A12-1)/2)</f>
        <v>1100</v>
      </c>
      <c r="C12" s="24" t="n">
        <f aca="false">IF(A12&gt;$B$7,"",IF(A12=0,$B$4,C11*(1+$B$5)+$B$6))</f>
        <v>1102.5</v>
      </c>
      <c r="D12" s="24" t="n">
        <f aca="false">IF(A12&gt;$B$7,"",C12-B12)</f>
        <v>2.5</v>
      </c>
      <c r="E12" s="24" t="n">
        <f aca="false">IF(A12&gt;$B$7,"",$B$4+$B$6*A12)</f>
        <v>1000</v>
      </c>
    </row>
    <row r="13" customFormat="false" ht="15" hidden="false" customHeight="false" outlineLevel="0" collapsed="false">
      <c r="A13" s="10" t="n">
        <v>3</v>
      </c>
      <c r="B13" s="24" t="n">
        <f aca="false">IF(A13&gt;$B$7,"",$B$4*(1+$B$5*A13)+$B$6*A13+$B$6*$B$5*A13*(A13-1)/2)</f>
        <v>1150</v>
      </c>
      <c r="C13" s="24" t="n">
        <f aca="false">IF(A13&gt;$B$7,"",IF(A13=0,$B$4,C12*(1+$B$5)+$B$6))</f>
        <v>1157.625</v>
      </c>
      <c r="D13" s="24" t="n">
        <f aca="false">IF(A13&gt;$B$7,"",C13-B13)</f>
        <v>7.625</v>
      </c>
      <c r="E13" s="24" t="n">
        <f aca="false">IF(A13&gt;$B$7,"",$B$4+$B$6*A13)</f>
        <v>1000</v>
      </c>
    </row>
    <row r="14" customFormat="false" ht="15" hidden="false" customHeight="false" outlineLevel="0" collapsed="false">
      <c r="A14" s="10" t="n">
        <v>4</v>
      </c>
      <c r="B14" s="24" t="n">
        <f aca="false">IF(A14&gt;$B$7,"",$B$4*(1+$B$5*A14)+$B$6*A14+$B$6*$B$5*A14*(A14-1)/2)</f>
        <v>1200</v>
      </c>
      <c r="C14" s="24" t="n">
        <f aca="false">IF(A14&gt;$B$7,"",IF(A14=0,$B$4,C13*(1+$B$5)+$B$6))</f>
        <v>1215.50625</v>
      </c>
      <c r="D14" s="24" t="n">
        <f aca="false">IF(A14&gt;$B$7,"",C14-B14)</f>
        <v>15.5062500000001</v>
      </c>
      <c r="E14" s="24" t="n">
        <f aca="false">IF(A14&gt;$B$7,"",$B$4+$B$6*A14)</f>
        <v>1000</v>
      </c>
    </row>
    <row r="15" customFormat="false" ht="15" hidden="false" customHeight="false" outlineLevel="0" collapsed="false">
      <c r="A15" s="10" t="n">
        <v>5</v>
      </c>
      <c r="B15" s="24" t="n">
        <f aca="false">IF(A15&gt;$B$7,"",$B$4*(1+$B$5*A15)+$B$6*A15+$B$6*$B$5*A15*(A15-1)/2)</f>
        <v>1250</v>
      </c>
      <c r="C15" s="24" t="n">
        <f aca="false">IF(A15&gt;$B$7,"",IF(A15=0,$B$4,C14*(1+$B$5)+$B$6))</f>
        <v>1276.2815625</v>
      </c>
      <c r="D15" s="24" t="n">
        <f aca="false">IF(A15&gt;$B$7,"",C15-B15)</f>
        <v>26.2815625000003</v>
      </c>
      <c r="E15" s="24" t="n">
        <f aca="false">IF(A15&gt;$B$7,"",$B$4+$B$6*A15)</f>
        <v>1000</v>
      </c>
    </row>
    <row r="16" customFormat="false" ht="15" hidden="false" customHeight="false" outlineLevel="0" collapsed="false">
      <c r="A16" s="10" t="n">
        <v>6</v>
      </c>
      <c r="B16" s="24" t="n">
        <f aca="false">IF(A16&gt;$B$7,"",$B$4*(1+$B$5*A16)+$B$6*A16+$B$6*$B$5*A16*(A16-1)/2)</f>
        <v>1300</v>
      </c>
      <c r="C16" s="24" t="n">
        <f aca="false">IF(A16&gt;$B$7,"",IF(A16=0,$B$4,C15*(1+$B$5)+$B$6))</f>
        <v>1340.095640625</v>
      </c>
      <c r="D16" s="24" t="n">
        <f aca="false">IF(A16&gt;$B$7,"",C16-B16)</f>
        <v>40.0956406250004</v>
      </c>
      <c r="E16" s="24" t="n">
        <f aca="false">IF(A16&gt;$B$7,"",$B$4+$B$6*A16)</f>
        <v>1000</v>
      </c>
    </row>
    <row r="17" customFormat="false" ht="15" hidden="false" customHeight="false" outlineLevel="0" collapsed="false">
      <c r="A17" s="10" t="n">
        <v>7</v>
      </c>
      <c r="B17" s="24" t="n">
        <f aca="false">IF(A17&gt;$B$7,"",$B$4*(1+$B$5*A17)+$B$6*A17+$B$6*$B$5*A17*(A17-1)/2)</f>
        <v>1350</v>
      </c>
      <c r="C17" s="24" t="n">
        <f aca="false">IF(A17&gt;$B$7,"",IF(A17=0,$B$4,C16*(1+$B$5)+$B$6))</f>
        <v>1407.10042265625</v>
      </c>
      <c r="D17" s="24" t="n">
        <f aca="false">IF(A17&gt;$B$7,"",C17-B17)</f>
        <v>57.1004226562504</v>
      </c>
      <c r="E17" s="24" t="n">
        <f aca="false">IF(A17&gt;$B$7,"",$B$4+$B$6*A17)</f>
        <v>1000</v>
      </c>
    </row>
    <row r="18" customFormat="false" ht="15" hidden="false" customHeight="false" outlineLevel="0" collapsed="false">
      <c r="A18" s="10" t="n">
        <v>8</v>
      </c>
      <c r="B18" s="24" t="n">
        <f aca="false">IF(A18&gt;$B$7,"",$B$4*(1+$B$5*A18)+$B$6*A18+$B$6*$B$5*A18*(A18-1)/2)</f>
        <v>1400</v>
      </c>
      <c r="C18" s="24" t="n">
        <f aca="false">IF(A18&gt;$B$7,"",IF(A18=0,$B$4,C17*(1+$B$5)+$B$6))</f>
        <v>1477.45544378906</v>
      </c>
      <c r="D18" s="24" t="n">
        <f aca="false">IF(A18&gt;$B$7,"",C18-B18)</f>
        <v>77.4554437890631</v>
      </c>
      <c r="E18" s="24" t="n">
        <f aca="false">IF(A18&gt;$B$7,"",$B$4+$B$6*A18)</f>
        <v>1000</v>
      </c>
    </row>
    <row r="19" customFormat="false" ht="15" hidden="false" customHeight="false" outlineLevel="0" collapsed="false">
      <c r="A19" s="10" t="n">
        <v>9</v>
      </c>
      <c r="B19" s="24" t="n">
        <f aca="false">IF(A19&gt;$B$7,"",$B$4*(1+$B$5*A19)+$B$6*A19+$B$6*$B$5*A19*(A19-1)/2)</f>
        <v>1450</v>
      </c>
      <c r="C19" s="24" t="n">
        <f aca="false">IF(A19&gt;$B$7,"",IF(A19=0,$B$4,C18*(1+$B$5)+$B$6))</f>
        <v>1551.32821597852</v>
      </c>
      <c r="D19" s="24" t="n">
        <f aca="false">IF(A19&gt;$B$7,"",C19-B19)</f>
        <v>101.328215978516</v>
      </c>
      <c r="E19" s="24" t="n">
        <f aca="false">IF(A19&gt;$B$7,"",$B$4+$B$6*A19)</f>
        <v>1000</v>
      </c>
    </row>
    <row r="20" customFormat="false" ht="15" hidden="false" customHeight="false" outlineLevel="0" collapsed="false">
      <c r="A20" s="10" t="n">
        <v>10</v>
      </c>
      <c r="B20" s="24" t="n">
        <f aca="false">IF(A20&gt;$B$7,"",$B$4*(1+$B$5*A20)+$B$6*A20+$B$6*$B$5*A20*(A20-1)/2)</f>
        <v>1500</v>
      </c>
      <c r="C20" s="24" t="n">
        <f aca="false">IF(A20&gt;$B$7,"",IF(A20=0,$B$4,C19*(1+$B$5)+$B$6))</f>
        <v>1628.89462677744</v>
      </c>
      <c r="D20" s="24" t="n">
        <f aca="false">IF(A20&gt;$B$7,"",C20-B20)</f>
        <v>128.894626777442</v>
      </c>
      <c r="E20" s="24" t="n">
        <f aca="false">IF(A20&gt;$B$7,"",$B$4+$B$6*A20)</f>
        <v>1000</v>
      </c>
    </row>
    <row r="21" customFormat="false" ht="15" hidden="false" customHeight="false" outlineLevel="0" collapsed="false">
      <c r="A21" s="10" t="n">
        <v>11</v>
      </c>
      <c r="B21" s="24" t="n">
        <f aca="false">IF(A21&gt;$B$7,"",$B$4*(1+$B$5*A21)+$B$6*A21+$B$6*$B$5*A21*(A21-1)/2)</f>
        <v>1550</v>
      </c>
      <c r="C21" s="24" t="n">
        <f aca="false">IF(A21&gt;$B$7,"",IF(A21=0,$B$4,C20*(1+$B$5)+$B$6))</f>
        <v>1710.33935811631</v>
      </c>
      <c r="D21" s="24" t="n">
        <f aca="false">IF(A21&gt;$B$7,"",C21-B21)</f>
        <v>160.339358116314</v>
      </c>
      <c r="E21" s="24" t="n">
        <f aca="false">IF(A21&gt;$B$7,"",$B$4+$B$6*A21)</f>
        <v>1000</v>
      </c>
    </row>
    <row r="22" customFormat="false" ht="15" hidden="false" customHeight="false" outlineLevel="0" collapsed="false">
      <c r="A22" s="10" t="n">
        <v>12</v>
      </c>
      <c r="B22" s="24" t="n">
        <f aca="false">IF(A22&gt;$B$7,"",$B$4*(1+$B$5*A22)+$B$6*A22+$B$6*$B$5*A22*(A22-1)/2)</f>
        <v>1600</v>
      </c>
      <c r="C22" s="24" t="n">
        <f aca="false">IF(A22&gt;$B$7,"",IF(A22=0,$B$4,C21*(1+$B$5)+$B$6))</f>
        <v>1795.85632602213</v>
      </c>
      <c r="D22" s="24" t="n">
        <f aca="false">IF(A22&gt;$B$7,"",C22-B22)</f>
        <v>195.85632602213</v>
      </c>
      <c r="E22" s="24" t="n">
        <f aca="false">IF(A22&gt;$B$7,"",$B$4+$B$6*A22)</f>
        <v>1000</v>
      </c>
    </row>
    <row r="23" customFormat="false" ht="15" hidden="false" customHeight="false" outlineLevel="0" collapsed="false">
      <c r="A23" s="10" t="n">
        <v>13</v>
      </c>
      <c r="B23" s="24" t="n">
        <f aca="false">IF(A23&gt;$B$7,"",$B$4*(1+$B$5*A23)+$B$6*A23+$B$6*$B$5*A23*(A23-1)/2)</f>
        <v>1650</v>
      </c>
      <c r="C23" s="24" t="n">
        <f aca="false">IF(A23&gt;$B$7,"",IF(A23=0,$B$4,C22*(1+$B$5)+$B$6))</f>
        <v>1885.64914232324</v>
      </c>
      <c r="D23" s="24" t="n">
        <f aca="false">IF(A23&gt;$B$7,"",C23-B23)</f>
        <v>235.649142323237</v>
      </c>
      <c r="E23" s="24" t="n">
        <f aca="false">IF(A23&gt;$B$7,"",$B$4+$B$6*A23)</f>
        <v>1000</v>
      </c>
    </row>
    <row r="24" customFormat="false" ht="15" hidden="false" customHeight="false" outlineLevel="0" collapsed="false">
      <c r="A24" s="10" t="n">
        <v>14</v>
      </c>
      <c r="B24" s="24" t="n">
        <f aca="false">IF(A24&gt;$B$7,"",$B$4*(1+$B$5*A24)+$B$6*A24+$B$6*$B$5*A24*(A24-1)/2)</f>
        <v>1700</v>
      </c>
      <c r="C24" s="24" t="n">
        <f aca="false">IF(A24&gt;$B$7,"",IF(A24=0,$B$4,C23*(1+$B$5)+$B$6))</f>
        <v>1979.9315994394</v>
      </c>
      <c r="D24" s="24" t="n">
        <f aca="false">IF(A24&gt;$B$7,"",C24-B24)</f>
        <v>279.931599439398</v>
      </c>
      <c r="E24" s="24" t="n">
        <f aca="false">IF(A24&gt;$B$7,"",$B$4+$B$6*A24)</f>
        <v>1000</v>
      </c>
    </row>
    <row r="25" customFormat="false" ht="15" hidden="false" customHeight="false" outlineLevel="0" collapsed="false">
      <c r="A25" s="10" t="n">
        <v>15</v>
      </c>
      <c r="B25" s="24" t="n">
        <f aca="false">IF(A25&gt;$B$7,"",$B$4*(1+$B$5*A25)+$B$6*A25+$B$6*$B$5*A25*(A25-1)/2)</f>
        <v>1750</v>
      </c>
      <c r="C25" s="24" t="n">
        <f aca="false">IF(A25&gt;$B$7,"",IF(A25=0,$B$4,C24*(1+$B$5)+$B$6))</f>
        <v>2078.92817941137</v>
      </c>
      <c r="D25" s="24" t="n">
        <f aca="false">IF(A25&gt;$B$7,"",C25-B25)</f>
        <v>328.928179411369</v>
      </c>
      <c r="E25" s="24" t="n">
        <f aca="false">IF(A25&gt;$B$7,"",$B$4+$B$6*A25)</f>
        <v>1000</v>
      </c>
    </row>
    <row r="26" customFormat="false" ht="15" hidden="false" customHeight="false" outlineLevel="0" collapsed="false">
      <c r="A26" s="10" t="n">
        <v>16</v>
      </c>
      <c r="B26" s="24" t="n">
        <f aca="false">IF(A26&gt;$B$7,"",$B$4*(1+$B$5*A26)+$B$6*A26+$B$6*$B$5*A26*(A26-1)/2)</f>
        <v>1800</v>
      </c>
      <c r="C26" s="24" t="n">
        <f aca="false">IF(A26&gt;$B$7,"",IF(A26=0,$B$4,C25*(1+$B$5)+$B$6))</f>
        <v>2182.87458838194</v>
      </c>
      <c r="D26" s="24" t="n">
        <f aca="false">IF(A26&gt;$B$7,"",C26-B26)</f>
        <v>382.874588381937</v>
      </c>
      <c r="E26" s="24" t="n">
        <f aca="false">IF(A26&gt;$B$7,"",$B$4+$B$6*A26)</f>
        <v>1000</v>
      </c>
    </row>
    <row r="27" customFormat="false" ht="15" hidden="false" customHeight="false" outlineLevel="0" collapsed="false">
      <c r="A27" s="10" t="n">
        <v>17</v>
      </c>
      <c r="B27" s="24" t="n">
        <f aca="false">IF(A27&gt;$B$7,"",$B$4*(1+$B$5*A27)+$B$6*A27+$B$6*$B$5*A27*(A27-1)/2)</f>
        <v>1850</v>
      </c>
      <c r="C27" s="24" t="n">
        <f aca="false">IF(A27&gt;$B$7,"",IF(A27=0,$B$4,C26*(1+$B$5)+$B$6))</f>
        <v>2292.01831780103</v>
      </c>
      <c r="D27" s="24" t="n">
        <f aca="false">IF(A27&gt;$B$7,"",C27-B27)</f>
        <v>442.018317801034</v>
      </c>
      <c r="E27" s="24" t="n">
        <f aca="false">IF(A27&gt;$B$7,"",$B$4+$B$6*A27)</f>
        <v>1000</v>
      </c>
    </row>
    <row r="28" customFormat="false" ht="15" hidden="false" customHeight="false" outlineLevel="0" collapsed="false">
      <c r="A28" s="10" t="n">
        <v>18</v>
      </c>
      <c r="B28" s="24" t="n">
        <f aca="false">IF(A28&gt;$B$7,"",$B$4*(1+$B$5*A28)+$B$6*A28+$B$6*$B$5*A28*(A28-1)/2)</f>
        <v>1900</v>
      </c>
      <c r="C28" s="24" t="n">
        <f aca="false">IF(A28&gt;$B$7,"",IF(A28=0,$B$4,C27*(1+$B$5)+$B$6))</f>
        <v>2406.61923369109</v>
      </c>
      <c r="D28" s="24" t="n">
        <f aca="false">IF(A28&gt;$B$7,"",C28-B28)</f>
        <v>506.619233691086</v>
      </c>
      <c r="E28" s="24" t="n">
        <f aca="false">IF(A28&gt;$B$7,"",$B$4+$B$6*A28)</f>
        <v>1000</v>
      </c>
    </row>
    <row r="29" customFormat="false" ht="15" hidden="false" customHeight="false" outlineLevel="0" collapsed="false">
      <c r="A29" s="10" t="n">
        <v>19</v>
      </c>
      <c r="B29" s="24" t="n">
        <f aca="false">IF(A29&gt;$B$7,"",$B$4*(1+$B$5*A29)+$B$6*A29+$B$6*$B$5*A29*(A29-1)/2)</f>
        <v>1950</v>
      </c>
      <c r="C29" s="24" t="n">
        <f aca="false">IF(A29&gt;$B$7,"",IF(A29=0,$B$4,C28*(1+$B$5)+$B$6))</f>
        <v>2526.95019537564</v>
      </c>
      <c r="D29" s="24" t="n">
        <f aca="false">IF(A29&gt;$B$7,"",C29-B29)</f>
        <v>576.95019537564</v>
      </c>
      <c r="E29" s="24" t="n">
        <f aca="false">IF(A29&gt;$B$7,"",$B$4+$B$6*A29)</f>
        <v>1000</v>
      </c>
    </row>
    <row r="30" customFormat="false" ht="15" hidden="false" customHeight="false" outlineLevel="0" collapsed="false">
      <c r="A30" s="10" t="n">
        <v>20</v>
      </c>
      <c r="B30" s="24" t="n">
        <f aca="false">IF(A30&gt;$B$7,"",$B$4*(1+$B$5*A30)+$B$6*A30+$B$6*$B$5*A30*(A30-1)/2)</f>
        <v>2000</v>
      </c>
      <c r="C30" s="24" t="n">
        <f aca="false">IF(A30&gt;$B$7,"",IF(A30=0,$B$4,C29*(1+$B$5)+$B$6))</f>
        <v>2653.29770514442</v>
      </c>
      <c r="D30" s="24" t="n">
        <f aca="false">IF(A30&gt;$B$7,"",C30-B30)</f>
        <v>653.297705144422</v>
      </c>
      <c r="E30" s="24" t="n">
        <f aca="false">IF(A30&gt;$B$7,"",$B$4+$B$6*A30)</f>
        <v>1000</v>
      </c>
    </row>
    <row r="31" customFormat="false" ht="15" hidden="false" customHeight="false" outlineLevel="0" collapsed="false">
      <c r="A31" s="10" t="n">
        <v>21</v>
      </c>
      <c r="B31" s="24" t="str">
        <f aca="false">IF(A31&gt;$B$7,"",$B$4*(1+$B$5*A31)+$B$6*A31+$B$6*$B$5*A31*(A31-1)/2)</f>
        <v/>
      </c>
      <c r="C31" s="24" t="str">
        <f aca="false">IF(A31&gt;$B$7,"",IF(A31=0,$B$4,C30*(1+$B$5)+$B$6))</f>
        <v/>
      </c>
      <c r="D31" s="24" t="str">
        <f aca="false">IF(A31&gt;$B$7,"",C31-B31)</f>
        <v/>
      </c>
      <c r="E31" s="24" t="str">
        <f aca="false">IF(A31&gt;$B$7,"",$B$4+$B$6*A31)</f>
        <v/>
      </c>
    </row>
    <row r="32" customFormat="false" ht="15" hidden="false" customHeight="false" outlineLevel="0" collapsed="false">
      <c r="A32" s="10" t="n">
        <v>22</v>
      </c>
      <c r="B32" s="24" t="str">
        <f aca="false">IF(A32&gt;$B$7,"",$B$4*(1+$B$5*A32)+$B$6*A32+$B$6*$B$5*A32*(A32-1)/2)</f>
        <v/>
      </c>
      <c r="C32" s="24" t="str">
        <f aca="false">IF(A32&gt;$B$7,"",IF(A32=0,$B$4,C31*(1+$B$5)+$B$6))</f>
        <v/>
      </c>
      <c r="D32" s="24" t="str">
        <f aca="false">IF(A32&gt;$B$7,"",C32-B32)</f>
        <v/>
      </c>
      <c r="E32" s="24" t="str">
        <f aca="false">IF(A32&gt;$B$7,"",$B$4+$B$6*A32)</f>
        <v/>
      </c>
    </row>
    <row r="33" customFormat="false" ht="15" hidden="false" customHeight="false" outlineLevel="0" collapsed="false">
      <c r="A33" s="10" t="n">
        <v>23</v>
      </c>
      <c r="B33" s="24" t="str">
        <f aca="false">IF(A33&gt;$B$7,"",$B$4*(1+$B$5*A33)+$B$6*A33+$B$6*$B$5*A33*(A33-1)/2)</f>
        <v/>
      </c>
      <c r="C33" s="24" t="str">
        <f aca="false">IF(A33&gt;$B$7,"",IF(A33=0,$B$4,C32*(1+$B$5)+$B$6))</f>
        <v/>
      </c>
      <c r="D33" s="24" t="str">
        <f aca="false">IF(A33&gt;$B$7,"",C33-B33)</f>
        <v/>
      </c>
      <c r="E33" s="24" t="str">
        <f aca="false">IF(A33&gt;$B$7,"",$B$4+$B$6*A33)</f>
        <v/>
      </c>
    </row>
    <row r="34" customFormat="false" ht="15" hidden="false" customHeight="false" outlineLevel="0" collapsed="false">
      <c r="A34" s="10" t="n">
        <v>24</v>
      </c>
      <c r="B34" s="24" t="str">
        <f aca="false">IF(A34&gt;$B$7,"",$B$4*(1+$B$5*A34)+$B$6*A34+$B$6*$B$5*A34*(A34-1)/2)</f>
        <v/>
      </c>
      <c r="C34" s="24" t="str">
        <f aca="false">IF(A34&gt;$B$7,"",IF(A34=0,$B$4,C33*(1+$B$5)+$B$6))</f>
        <v/>
      </c>
      <c r="D34" s="24" t="str">
        <f aca="false">IF(A34&gt;$B$7,"",C34-B34)</f>
        <v/>
      </c>
      <c r="E34" s="24" t="str">
        <f aca="false">IF(A34&gt;$B$7,"",$B$4+$B$6*A34)</f>
        <v/>
      </c>
    </row>
    <row r="35" customFormat="false" ht="15" hidden="false" customHeight="false" outlineLevel="0" collapsed="false">
      <c r="A35" s="10" t="n">
        <v>25</v>
      </c>
      <c r="B35" s="24" t="str">
        <f aca="false">IF(A35&gt;$B$7,"",$B$4*(1+$B$5*A35)+$B$6*A35+$B$6*$B$5*A35*(A35-1)/2)</f>
        <v/>
      </c>
      <c r="C35" s="24" t="str">
        <f aca="false">IF(A35&gt;$B$7,"",IF(A35=0,$B$4,C34*(1+$B$5)+$B$6))</f>
        <v/>
      </c>
      <c r="D35" s="24" t="str">
        <f aca="false">IF(A35&gt;$B$7,"",C35-B35)</f>
        <v/>
      </c>
      <c r="E35" s="24" t="str">
        <f aca="false">IF(A35&gt;$B$7,"",$B$4+$B$6*A35)</f>
        <v/>
      </c>
    </row>
    <row r="36" customFormat="false" ht="15" hidden="false" customHeight="false" outlineLevel="0" collapsed="false">
      <c r="A36" s="10" t="n">
        <v>26</v>
      </c>
      <c r="B36" s="24" t="str">
        <f aca="false">IF(A36&gt;$B$7,"",$B$4*(1+$B$5*A36)+$B$6*A36+$B$6*$B$5*A36*(A36-1)/2)</f>
        <v/>
      </c>
      <c r="C36" s="24" t="str">
        <f aca="false">IF(A36&gt;$B$7,"",IF(A36=0,$B$4,C35*(1+$B$5)+$B$6))</f>
        <v/>
      </c>
      <c r="D36" s="24" t="str">
        <f aca="false">IF(A36&gt;$B$7,"",C36-B36)</f>
        <v/>
      </c>
      <c r="E36" s="24" t="str">
        <f aca="false">IF(A36&gt;$B$7,"",$B$4+$B$6*A36)</f>
        <v/>
      </c>
    </row>
    <row r="37" customFormat="false" ht="15" hidden="false" customHeight="false" outlineLevel="0" collapsed="false">
      <c r="A37" s="10" t="n">
        <v>27</v>
      </c>
      <c r="B37" s="24" t="str">
        <f aca="false">IF(A37&gt;$B$7,"",$B$4*(1+$B$5*A37)+$B$6*A37+$B$6*$B$5*A37*(A37-1)/2)</f>
        <v/>
      </c>
      <c r="C37" s="24" t="str">
        <f aca="false">IF(A37&gt;$B$7,"",IF(A37=0,$B$4,C36*(1+$B$5)+$B$6))</f>
        <v/>
      </c>
      <c r="D37" s="24" t="str">
        <f aca="false">IF(A37&gt;$B$7,"",C37-B37)</f>
        <v/>
      </c>
      <c r="E37" s="24" t="str">
        <f aca="false">IF(A37&gt;$B$7,"",$B$4+$B$6*A37)</f>
        <v/>
      </c>
    </row>
    <row r="38" customFormat="false" ht="15" hidden="false" customHeight="false" outlineLevel="0" collapsed="false">
      <c r="A38" s="10" t="n">
        <v>28</v>
      </c>
      <c r="B38" s="24" t="str">
        <f aca="false">IF(A38&gt;$B$7,"",$B$4*(1+$B$5*A38)+$B$6*A38+$B$6*$B$5*A38*(A38-1)/2)</f>
        <v/>
      </c>
      <c r="C38" s="24" t="str">
        <f aca="false">IF(A38&gt;$B$7,"",IF(A38=0,$B$4,C37*(1+$B$5)+$B$6))</f>
        <v/>
      </c>
      <c r="D38" s="24" t="str">
        <f aca="false">IF(A38&gt;$B$7,"",C38-B38)</f>
        <v/>
      </c>
      <c r="E38" s="24" t="str">
        <f aca="false">IF(A38&gt;$B$7,"",$B$4+$B$6*A38)</f>
        <v/>
      </c>
    </row>
    <row r="39" customFormat="false" ht="15" hidden="false" customHeight="false" outlineLevel="0" collapsed="false">
      <c r="A39" s="10" t="n">
        <v>29</v>
      </c>
      <c r="B39" s="24" t="str">
        <f aca="false">IF(A39&gt;$B$7,"",$B$4*(1+$B$5*A39)+$B$6*A39+$B$6*$B$5*A39*(A39-1)/2)</f>
        <v/>
      </c>
      <c r="C39" s="24" t="str">
        <f aca="false">IF(A39&gt;$B$7,"",IF(A39=0,$B$4,C38*(1+$B$5)+$B$6))</f>
        <v/>
      </c>
      <c r="D39" s="24" t="str">
        <f aca="false">IF(A39&gt;$B$7,"",C39-B39)</f>
        <v/>
      </c>
      <c r="E39" s="24" t="str">
        <f aca="false">IF(A39&gt;$B$7,"",$B$4+$B$6*A39)</f>
        <v/>
      </c>
    </row>
    <row r="40" customFormat="false" ht="15" hidden="false" customHeight="false" outlineLevel="0" collapsed="false">
      <c r="A40" s="10" t="n">
        <v>30</v>
      </c>
      <c r="B40" s="24" t="str">
        <f aca="false">IF(A40&gt;$B$7,"",$B$4*(1+$B$5*A40)+$B$6*A40+$B$6*$B$5*A40*(A40-1)/2)</f>
        <v/>
      </c>
      <c r="C40" s="24" t="str">
        <f aca="false">IF(A40&gt;$B$7,"",IF(A40=0,$B$4,C39*(1+$B$5)+$B$6))</f>
        <v/>
      </c>
      <c r="D40" s="24" t="str">
        <f aca="false">IF(A40&gt;$B$7,"",C40-B40)</f>
        <v/>
      </c>
      <c r="E40" s="24" t="str">
        <f aca="false">IF(A40&gt;$B$7,"",$B$4+$B$6*A40)</f>
        <v/>
      </c>
    </row>
    <row r="41" customFormat="false" ht="15" hidden="false" customHeight="false" outlineLevel="0" collapsed="false">
      <c r="A41" s="10" t="n">
        <v>31</v>
      </c>
      <c r="B41" s="24" t="str">
        <f aca="false">IF(A41&gt;$B$7,"",$B$4*(1+$B$5*A41)+$B$6*A41+$B$6*$B$5*A41*(A41-1)/2)</f>
        <v/>
      </c>
      <c r="C41" s="24" t="str">
        <f aca="false">IF(A41&gt;$B$7,"",IF(A41=0,$B$4,C40*(1+$B$5)+$B$6))</f>
        <v/>
      </c>
      <c r="D41" s="24" t="str">
        <f aca="false">IF(A41&gt;$B$7,"",C41-B41)</f>
        <v/>
      </c>
      <c r="E41" s="24" t="str">
        <f aca="false">IF(A41&gt;$B$7,"",$B$4+$B$6*A41)</f>
        <v/>
      </c>
    </row>
    <row r="42" customFormat="false" ht="15" hidden="false" customHeight="false" outlineLevel="0" collapsed="false">
      <c r="A42" s="10" t="n">
        <v>32</v>
      </c>
      <c r="B42" s="24" t="str">
        <f aca="false">IF(A42&gt;$B$7,"",$B$4*(1+$B$5*A42)+$B$6*A42+$B$6*$B$5*A42*(A42-1)/2)</f>
        <v/>
      </c>
      <c r="C42" s="24" t="str">
        <f aca="false">IF(A42&gt;$B$7,"",IF(A42=0,$B$4,C41*(1+$B$5)+$B$6))</f>
        <v/>
      </c>
      <c r="D42" s="24" t="str">
        <f aca="false">IF(A42&gt;$B$7,"",C42-B42)</f>
        <v/>
      </c>
      <c r="E42" s="24" t="str">
        <f aca="false">IF(A42&gt;$B$7,"",$B$4+$B$6*A42)</f>
        <v/>
      </c>
    </row>
    <row r="43" customFormat="false" ht="15" hidden="false" customHeight="false" outlineLevel="0" collapsed="false">
      <c r="A43" s="10" t="n">
        <v>33</v>
      </c>
      <c r="B43" s="24" t="str">
        <f aca="false">IF(A43&gt;$B$7,"",$B$4*(1+$B$5*A43)+$B$6*A43+$B$6*$B$5*A43*(A43-1)/2)</f>
        <v/>
      </c>
      <c r="C43" s="24" t="str">
        <f aca="false">IF(A43&gt;$B$7,"",IF(A43=0,$B$4,C42*(1+$B$5)+$B$6))</f>
        <v/>
      </c>
      <c r="D43" s="24" t="str">
        <f aca="false">IF(A43&gt;$B$7,"",C43-B43)</f>
        <v/>
      </c>
      <c r="E43" s="24" t="str">
        <f aca="false">IF(A43&gt;$B$7,"",$B$4+$B$6*A43)</f>
        <v/>
      </c>
    </row>
    <row r="44" customFormat="false" ht="15" hidden="false" customHeight="false" outlineLevel="0" collapsed="false">
      <c r="A44" s="10" t="n">
        <v>34</v>
      </c>
      <c r="B44" s="24" t="str">
        <f aca="false">IF(A44&gt;$B$7,"",$B$4*(1+$B$5*A44)+$B$6*A44+$B$6*$B$5*A44*(A44-1)/2)</f>
        <v/>
      </c>
      <c r="C44" s="24" t="str">
        <f aca="false">IF(A44&gt;$B$7,"",IF(A44=0,$B$4,C43*(1+$B$5)+$B$6))</f>
        <v/>
      </c>
      <c r="D44" s="24" t="str">
        <f aca="false">IF(A44&gt;$B$7,"",C44-B44)</f>
        <v/>
      </c>
      <c r="E44" s="24" t="str">
        <f aca="false">IF(A44&gt;$B$7,"",$B$4+$B$6*A44)</f>
        <v/>
      </c>
    </row>
    <row r="45" customFormat="false" ht="15" hidden="false" customHeight="false" outlineLevel="0" collapsed="false">
      <c r="A45" s="10" t="n">
        <v>35</v>
      </c>
      <c r="B45" s="24" t="str">
        <f aca="false">IF(A45&gt;$B$7,"",$B$4*(1+$B$5*A45)+$B$6*A45+$B$6*$B$5*A45*(A45-1)/2)</f>
        <v/>
      </c>
      <c r="C45" s="24" t="str">
        <f aca="false">IF(A45&gt;$B$7,"",IF(A45=0,$B$4,C44*(1+$B$5)+$B$6))</f>
        <v/>
      </c>
      <c r="D45" s="24" t="str">
        <f aca="false">IF(A45&gt;$B$7,"",C45-B45)</f>
        <v/>
      </c>
      <c r="E45" s="24" t="str">
        <f aca="false">IF(A45&gt;$B$7,"",$B$4+$B$6*A45)</f>
        <v/>
      </c>
    </row>
    <row r="46" customFormat="false" ht="15" hidden="false" customHeight="false" outlineLevel="0" collapsed="false">
      <c r="A46" s="10" t="n">
        <v>36</v>
      </c>
      <c r="B46" s="24" t="str">
        <f aca="false">IF(A46&gt;$B$7,"",$B$4*(1+$B$5*A46)+$B$6*A46+$B$6*$B$5*A46*(A46-1)/2)</f>
        <v/>
      </c>
      <c r="C46" s="24" t="str">
        <f aca="false">IF(A46&gt;$B$7,"",IF(A46=0,$B$4,C45*(1+$B$5)+$B$6))</f>
        <v/>
      </c>
      <c r="D46" s="24" t="str">
        <f aca="false">IF(A46&gt;$B$7,"",C46-B46)</f>
        <v/>
      </c>
      <c r="E46" s="24" t="str">
        <f aca="false">IF(A46&gt;$B$7,"",$B$4+$B$6*A46)</f>
        <v/>
      </c>
    </row>
    <row r="47" customFormat="false" ht="15" hidden="false" customHeight="false" outlineLevel="0" collapsed="false">
      <c r="A47" s="10" t="n">
        <v>37</v>
      </c>
      <c r="B47" s="24" t="str">
        <f aca="false">IF(A47&gt;$B$7,"",$B$4*(1+$B$5*A47)+$B$6*A47+$B$6*$B$5*A47*(A47-1)/2)</f>
        <v/>
      </c>
      <c r="C47" s="24" t="str">
        <f aca="false">IF(A47&gt;$B$7,"",IF(A47=0,$B$4,C46*(1+$B$5)+$B$6))</f>
        <v/>
      </c>
      <c r="D47" s="24" t="str">
        <f aca="false">IF(A47&gt;$B$7,"",C47-B47)</f>
        <v/>
      </c>
      <c r="E47" s="24" t="str">
        <f aca="false">IF(A47&gt;$B$7,"",$B$4+$B$6*A47)</f>
        <v/>
      </c>
    </row>
    <row r="48" customFormat="false" ht="15" hidden="false" customHeight="false" outlineLevel="0" collapsed="false">
      <c r="A48" s="10" t="n">
        <v>38</v>
      </c>
      <c r="B48" s="24" t="str">
        <f aca="false">IF(A48&gt;$B$7,"",$B$4*(1+$B$5*A48)+$B$6*A48+$B$6*$B$5*A48*(A48-1)/2)</f>
        <v/>
      </c>
      <c r="C48" s="24" t="str">
        <f aca="false">IF(A48&gt;$B$7,"",IF(A48=0,$B$4,C47*(1+$B$5)+$B$6))</f>
        <v/>
      </c>
      <c r="D48" s="24" t="str">
        <f aca="false">IF(A48&gt;$B$7,"",C48-B48)</f>
        <v/>
      </c>
      <c r="E48" s="24" t="str">
        <f aca="false">IF(A48&gt;$B$7,"",$B$4+$B$6*A48)</f>
        <v/>
      </c>
    </row>
    <row r="49" customFormat="false" ht="15" hidden="false" customHeight="false" outlineLevel="0" collapsed="false">
      <c r="A49" s="10" t="n">
        <v>39</v>
      </c>
      <c r="B49" s="24" t="str">
        <f aca="false">IF(A49&gt;$B$7,"",$B$4*(1+$B$5*A49)+$B$6*A49+$B$6*$B$5*A49*(A49-1)/2)</f>
        <v/>
      </c>
      <c r="C49" s="24" t="str">
        <f aca="false">IF(A49&gt;$B$7,"",IF(A49=0,$B$4,C48*(1+$B$5)+$B$6))</f>
        <v/>
      </c>
      <c r="D49" s="24" t="str">
        <f aca="false">IF(A49&gt;$B$7,"",C49-B49)</f>
        <v/>
      </c>
      <c r="E49" s="24" t="str">
        <f aca="false">IF(A49&gt;$B$7,"",$B$4+$B$6*A49)</f>
        <v/>
      </c>
    </row>
    <row r="50" customFormat="false" ht="15" hidden="false" customHeight="false" outlineLevel="0" collapsed="false">
      <c r="A50" s="10" t="n">
        <v>40</v>
      </c>
      <c r="B50" s="24" t="str">
        <f aca="false">IF(A50&gt;$B$7,"",$B$4*(1+$B$5*A50)+$B$6*A50+$B$6*$B$5*A50*(A50-1)/2)</f>
        <v/>
      </c>
      <c r="C50" s="24" t="str">
        <f aca="false">IF(A50&gt;$B$7,"",IF(A50=0,$B$4,C49*(1+$B$5)+$B$6))</f>
        <v/>
      </c>
      <c r="D50" s="24" t="str">
        <f aca="false">IF(A50&gt;$B$7,"",C50-B50)</f>
        <v/>
      </c>
      <c r="E50" s="24" t="str">
        <f aca="false">IF(A50&gt;$B$7,"",$B$4+$B$6*A50)</f>
        <v/>
      </c>
    </row>
    <row r="52" customFormat="false" ht="15" hidden="false" customHeight="false" outlineLevel="0" collapsed="false">
      <c r="A52" s="2" t="s">
        <v>312</v>
      </c>
    </row>
    <row r="53" customFormat="false" ht="15" hidden="false" customHeight="false" outlineLevel="0" collapsed="false">
      <c r="A53" s="5" t="s">
        <v>313</v>
      </c>
      <c r="B53" s="37" t="n">
        <f aca="false">IF($B$5&gt;0,72/($B$5*100),"")</f>
        <v>14.4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9" min="3" style="0" width="16"/>
  </cols>
  <sheetData>
    <row r="1" customFormat="false" ht="19.7" hidden="false" customHeight="false" outlineLevel="0" collapsed="false">
      <c r="A1" s="1" t="s">
        <v>314</v>
      </c>
    </row>
    <row r="2" customFormat="false" ht="15" hidden="false" customHeight="false" outlineLevel="0" collapsed="false">
      <c r="A2" s="2" t="s">
        <v>315</v>
      </c>
    </row>
    <row r="4" customFormat="false" ht="15" hidden="false" customHeight="false" outlineLevel="0" collapsed="false">
      <c r="A4" s="5" t="s">
        <v>316</v>
      </c>
      <c r="B4" s="7" t="n">
        <f aca="false">'Start Here'!$B$12+35</f>
        <v>46342</v>
      </c>
      <c r="C4" s="2" t="s">
        <v>317</v>
      </c>
    </row>
    <row r="6" customFormat="false" ht="15" hidden="false" customHeight="false" outlineLevel="0" collapsed="false">
      <c r="A6" s="3" t="s">
        <v>318</v>
      </c>
      <c r="B6" s="4"/>
      <c r="C6" s="4"/>
      <c r="D6" s="4"/>
      <c r="E6" s="4"/>
      <c r="F6" s="4"/>
      <c r="G6" s="4"/>
      <c r="H6" s="4"/>
      <c r="I6" s="4"/>
    </row>
    <row r="7" customFormat="false" ht="26.85" hidden="false" customHeight="false" outlineLevel="0" collapsed="false">
      <c r="A7" s="19" t="s">
        <v>319</v>
      </c>
      <c r="B7" s="19" t="s">
        <v>320</v>
      </c>
      <c r="C7" s="19" t="s">
        <v>321</v>
      </c>
      <c r="D7" s="19" t="s">
        <v>322</v>
      </c>
      <c r="E7" s="19" t="s">
        <v>323</v>
      </c>
      <c r="F7" s="19" t="s">
        <v>324</v>
      </c>
    </row>
    <row r="8" customFormat="false" ht="15" hidden="false" customHeight="false" outlineLevel="0" collapsed="false">
      <c r="A8" s="6" t="n">
        <v>1</v>
      </c>
      <c r="B8" s="6" t="s">
        <v>325</v>
      </c>
      <c r="C8" s="6" t="s">
        <v>326</v>
      </c>
      <c r="D8" s="7" t="n">
        <f aca="false">B4+1</f>
        <v>46343</v>
      </c>
      <c r="E8" s="7" t="n">
        <f aca="false">B4+1</f>
        <v>46343</v>
      </c>
      <c r="F8" s="21" t="str">
        <f aca="false">IF(OR(D8="",E8=""),"",IF(E8&lt;=D8,"Yes","Late "&amp;(E8-D8)&amp;" day(s)"))</f>
        <v>Yes</v>
      </c>
    </row>
    <row r="9" customFormat="false" ht="15" hidden="false" customHeight="false" outlineLevel="0" collapsed="false">
      <c r="A9" s="6"/>
      <c r="B9" s="6"/>
      <c r="C9" s="6"/>
      <c r="D9" s="7"/>
      <c r="E9" s="7"/>
      <c r="F9" s="21" t="str">
        <f aca="false">IF(OR(D9="",E9=""),"",IF(E9&lt;=D9,"Yes","Late "&amp;(E9-D9)&amp;" day(s)"))</f>
        <v/>
      </c>
    </row>
    <row r="10" customFormat="false" ht="15" hidden="false" customHeight="false" outlineLevel="0" collapsed="false">
      <c r="A10" s="6"/>
      <c r="B10" s="6"/>
      <c r="C10" s="6"/>
      <c r="D10" s="7"/>
      <c r="E10" s="7"/>
      <c r="F10" s="21" t="str">
        <f aca="false">IF(OR(D10="",E10=""),"",IF(E10&lt;=D10,"Yes","Late "&amp;(E10-D10)&amp;" day(s)"))</f>
        <v/>
      </c>
    </row>
    <row r="11" customFormat="false" ht="15" hidden="false" customHeight="false" outlineLevel="0" collapsed="false">
      <c r="A11" s="6"/>
      <c r="B11" s="6"/>
      <c r="C11" s="6"/>
      <c r="D11" s="7"/>
      <c r="E11" s="7"/>
      <c r="F11" s="21" t="str">
        <f aca="false">IF(OR(D11="",E11=""),"",IF(E11&lt;=D11,"Yes","Late "&amp;(E11-D11)&amp;" day(s)"))</f>
        <v/>
      </c>
    </row>
    <row r="12" customFormat="false" ht="15" hidden="false" customHeight="false" outlineLevel="0" collapsed="false">
      <c r="A12" s="6"/>
      <c r="B12" s="6"/>
      <c r="C12" s="6"/>
      <c r="D12" s="7"/>
      <c r="E12" s="7"/>
      <c r="F12" s="21" t="str">
        <f aca="false">IF(OR(D12="",E12=""),"",IF(E12&lt;=D12,"Yes","Late "&amp;(E12-D12)&amp;" day(s)"))</f>
        <v/>
      </c>
    </row>
    <row r="13" customFormat="false" ht="15" hidden="false" customHeight="false" outlineLevel="0" collapsed="false">
      <c r="A13" s="6"/>
      <c r="B13" s="6"/>
      <c r="C13" s="6"/>
      <c r="D13" s="7"/>
      <c r="E13" s="7"/>
      <c r="F13" s="21" t="str">
        <f aca="false">IF(OR(D13="",E13=""),"",IF(E13&lt;=D13,"Yes","Late "&amp;(E13-D13)&amp;" day(s)"))</f>
        <v/>
      </c>
    </row>
    <row r="14" customFormat="false" ht="15" hidden="false" customHeight="false" outlineLevel="0" collapsed="false">
      <c r="A14" s="6"/>
      <c r="B14" s="6"/>
      <c r="C14" s="6"/>
      <c r="D14" s="7"/>
      <c r="E14" s="7"/>
      <c r="F14" s="21" t="str">
        <f aca="false">IF(OR(D14="",E14=""),"",IF(E14&lt;=D14,"Yes","Late "&amp;(E14-D14)&amp;" day(s)"))</f>
        <v/>
      </c>
    </row>
    <row r="15" customFormat="false" ht="15" hidden="false" customHeight="false" outlineLevel="0" collapsed="false">
      <c r="A15" s="6"/>
      <c r="B15" s="6"/>
      <c r="C15" s="6"/>
      <c r="D15" s="7"/>
      <c r="E15" s="7"/>
      <c r="F15" s="21" t="str">
        <f aca="false">IF(OR(D15="",E15=""),"",IF(E15&lt;=D15,"Yes","Late "&amp;(E15-D15)&amp;" day(s)"))</f>
        <v/>
      </c>
    </row>
    <row r="16" customFormat="false" ht="15" hidden="false" customHeight="false" outlineLevel="0" collapsed="false">
      <c r="A16" s="6"/>
      <c r="B16" s="6"/>
      <c r="C16" s="6"/>
      <c r="D16" s="7"/>
      <c r="E16" s="7"/>
      <c r="F16" s="21" t="str">
        <f aca="false">IF(OR(D16="",E16=""),"",IF(E16&lt;=D16,"Yes","Late "&amp;(E16-D16)&amp;" day(s)"))</f>
        <v/>
      </c>
    </row>
    <row r="17" customFormat="false" ht="15" hidden="false" customHeight="false" outlineLevel="0" collapsed="false">
      <c r="A17" s="6"/>
      <c r="B17" s="6"/>
      <c r="C17" s="6"/>
      <c r="D17" s="7"/>
      <c r="E17" s="7"/>
      <c r="F17" s="21" t="str">
        <f aca="false">IF(OR(D17="",E17=""),"",IF(E17&lt;=D17,"Yes","Late "&amp;(E17-D17)&amp;" day(s)"))</f>
        <v/>
      </c>
    </row>
    <row r="18" customFormat="false" ht="15" hidden="false" customHeight="false" outlineLevel="0" collapsed="false">
      <c r="A18" s="6"/>
      <c r="B18" s="6"/>
      <c r="C18" s="6"/>
      <c r="D18" s="7"/>
      <c r="E18" s="7"/>
      <c r="F18" s="21" t="str">
        <f aca="false">IF(OR(D18="",E18=""),"",IF(E18&lt;=D18,"Yes","Late "&amp;(E18-D18)&amp;" day(s)"))</f>
        <v/>
      </c>
    </row>
    <row r="19" customFormat="false" ht="15" hidden="false" customHeight="false" outlineLevel="0" collapsed="false">
      <c r="A19" s="6"/>
      <c r="B19" s="6"/>
      <c r="C19" s="6"/>
      <c r="D19" s="7"/>
      <c r="E19" s="7"/>
      <c r="F19" s="21" t="str">
        <f aca="false">IF(OR(D19="",E19=""),"",IF(E19&lt;=D19,"Yes","Late "&amp;(E19-D19)&amp;" day(s)"))</f>
        <v/>
      </c>
    </row>
    <row r="21" customFormat="false" ht="15" hidden="false" customHeight="false" outlineLevel="0" collapsed="false">
      <c r="A21" s="3" t="s">
        <v>327</v>
      </c>
      <c r="B21" s="4"/>
      <c r="C21" s="4"/>
      <c r="D21" s="4"/>
      <c r="E21" s="4"/>
      <c r="F21" s="4"/>
      <c r="G21" s="4"/>
      <c r="H21" s="4"/>
      <c r="I21" s="4"/>
    </row>
    <row r="22" customFormat="false" ht="15" hidden="false" customHeight="false" outlineLevel="0" collapsed="false">
      <c r="A22" s="38" t="s">
        <v>328</v>
      </c>
      <c r="B22" s="38"/>
      <c r="C22" s="39" t="n">
        <f aca="false">$B$4+0</f>
        <v>46342</v>
      </c>
      <c r="D22" s="39" t="n">
        <f aca="false">$B$4+1</f>
        <v>46343</v>
      </c>
      <c r="E22" s="39" t="n">
        <f aca="false">$B$4+2</f>
        <v>46344</v>
      </c>
      <c r="F22" s="39" t="n">
        <f aca="false">$B$4+3</f>
        <v>46345</v>
      </c>
      <c r="G22" s="39" t="n">
        <f aca="false">$B$4+4</f>
        <v>46346</v>
      </c>
      <c r="H22" s="39" t="n">
        <f aca="false">$B$4+5</f>
        <v>46347</v>
      </c>
      <c r="I22" s="39" t="n">
        <f aca="false">$B$4+6</f>
        <v>46348</v>
      </c>
    </row>
    <row r="23" customFormat="false" ht="27.75" hidden="false" customHeight="true" outlineLevel="0" collapsed="false">
      <c r="A23" s="40" t="s">
        <v>329</v>
      </c>
      <c r="B23" s="40"/>
      <c r="C23" s="6"/>
      <c r="D23" s="6"/>
      <c r="E23" s="6"/>
      <c r="F23" s="6"/>
      <c r="G23" s="6"/>
      <c r="H23" s="6"/>
      <c r="I23" s="6"/>
    </row>
    <row r="24" customFormat="false" ht="27.75" hidden="false" customHeight="true" outlineLevel="0" collapsed="false">
      <c r="A24" s="40" t="s">
        <v>330</v>
      </c>
      <c r="B24" s="40"/>
      <c r="C24" s="6"/>
      <c r="D24" s="6"/>
      <c r="E24" s="6"/>
      <c r="F24" s="6"/>
      <c r="G24" s="6"/>
      <c r="H24" s="6"/>
      <c r="I24" s="6"/>
    </row>
    <row r="25" customFormat="false" ht="27.75" hidden="false" customHeight="true" outlineLevel="0" collapsed="false">
      <c r="A25" s="40" t="s">
        <v>331</v>
      </c>
      <c r="B25" s="40"/>
      <c r="C25" s="6"/>
      <c r="D25" s="6"/>
      <c r="E25" s="6"/>
      <c r="F25" s="6"/>
      <c r="G25" s="6"/>
      <c r="H25" s="6"/>
      <c r="I25" s="6"/>
    </row>
    <row r="26" customFormat="false" ht="27.75" hidden="false" customHeight="true" outlineLevel="0" collapsed="false">
      <c r="A26" s="40" t="s">
        <v>332</v>
      </c>
      <c r="B26" s="40"/>
      <c r="C26" s="6"/>
      <c r="D26" s="6"/>
      <c r="E26" s="6"/>
      <c r="F26" s="6"/>
      <c r="G26" s="6"/>
      <c r="H26" s="6"/>
      <c r="I26" s="6"/>
    </row>
    <row r="27" customFormat="false" ht="27.75" hidden="false" customHeight="true" outlineLevel="0" collapsed="false">
      <c r="A27" s="40" t="s">
        <v>333</v>
      </c>
      <c r="B27" s="40"/>
      <c r="C27" s="6"/>
      <c r="D27" s="6"/>
      <c r="E27" s="6"/>
      <c r="F27" s="6"/>
      <c r="G27" s="6"/>
      <c r="H27" s="6"/>
      <c r="I27" s="6"/>
    </row>
    <row r="28" customFormat="false" ht="27.75" hidden="false" customHeight="true" outlineLevel="0" collapsed="false">
      <c r="A28" s="40" t="s">
        <v>334</v>
      </c>
      <c r="B28" s="40"/>
      <c r="C28" s="6"/>
      <c r="D28" s="6"/>
      <c r="E28" s="6"/>
      <c r="F28" s="6"/>
      <c r="G28" s="6"/>
      <c r="H28" s="6"/>
      <c r="I28" s="6"/>
    </row>
    <row r="29" customFormat="false" ht="27.75" hidden="false" customHeight="true" outlineLevel="0" collapsed="false">
      <c r="A29" s="40" t="s">
        <v>335</v>
      </c>
      <c r="B29" s="40"/>
      <c r="C29" s="6"/>
      <c r="D29" s="6"/>
      <c r="E29" s="6"/>
      <c r="F29" s="6"/>
      <c r="G29" s="6"/>
      <c r="H29" s="6"/>
      <c r="I29" s="6"/>
    </row>
    <row r="30" customFormat="false" ht="27.75" hidden="false" customHeight="true" outlineLevel="0" collapsed="false">
      <c r="A30" s="40" t="s">
        <v>336</v>
      </c>
      <c r="B30" s="40"/>
      <c r="C30" s="6"/>
      <c r="D30" s="6"/>
      <c r="E30" s="6"/>
      <c r="F30" s="6"/>
      <c r="G30" s="6"/>
      <c r="H30" s="6"/>
      <c r="I30" s="6"/>
    </row>
    <row r="31" customFormat="false" ht="27.75" hidden="false" customHeight="true" outlineLevel="0" collapsed="false">
      <c r="A31" s="40" t="s">
        <v>337</v>
      </c>
      <c r="B31" s="40"/>
      <c r="C31" s="6"/>
      <c r="D31" s="6"/>
      <c r="E31" s="6"/>
      <c r="F31" s="6"/>
      <c r="G31" s="6"/>
      <c r="H31" s="6"/>
      <c r="I31" s="6"/>
    </row>
    <row r="32" customFormat="false" ht="27.75" hidden="false" customHeight="true" outlineLevel="0" collapsed="false">
      <c r="A32" s="40" t="s">
        <v>338</v>
      </c>
      <c r="B32" s="40"/>
      <c r="C32" s="6"/>
      <c r="D32" s="6"/>
      <c r="E32" s="6"/>
      <c r="F32" s="6"/>
      <c r="G32" s="6"/>
      <c r="H32" s="6"/>
      <c r="I32" s="6"/>
    </row>
    <row r="33" customFormat="false" ht="27.75" hidden="false" customHeight="true" outlineLevel="0" collapsed="false">
      <c r="A33" s="40" t="s">
        <v>339</v>
      </c>
      <c r="B33" s="40"/>
      <c r="C33" s="6"/>
      <c r="D33" s="6"/>
      <c r="E33" s="6"/>
      <c r="F33" s="6"/>
      <c r="G33" s="6"/>
      <c r="H33" s="6"/>
      <c r="I33" s="6"/>
    </row>
    <row r="35" customFormat="false" ht="15" hidden="false" customHeight="false" outlineLevel="0" collapsed="false">
      <c r="A35" s="3" t="s">
        <v>340</v>
      </c>
      <c r="B35" s="4"/>
      <c r="C35" s="4"/>
      <c r="D35" s="4"/>
      <c r="E35" s="4"/>
      <c r="F35" s="4"/>
      <c r="G35" s="4"/>
      <c r="H35" s="4"/>
      <c r="I35" s="4"/>
    </row>
    <row r="36" customFormat="false" ht="39.55" hidden="false" customHeight="false" outlineLevel="0" collapsed="false">
      <c r="A36" s="19" t="s">
        <v>341</v>
      </c>
      <c r="B36" s="19" t="s">
        <v>342</v>
      </c>
      <c r="C36" s="19" t="s">
        <v>343</v>
      </c>
    </row>
    <row r="37" customFormat="false" ht="39.75" hidden="false" customHeight="true" outlineLevel="0" collapsed="false">
      <c r="A37" s="41" t="n">
        <f aca="false">$B$4+0</f>
        <v>46342</v>
      </c>
      <c r="B37" s="6"/>
      <c r="C37" s="6"/>
      <c r="D37" s="6"/>
      <c r="E37" s="6"/>
      <c r="F37" s="6"/>
      <c r="G37" s="6"/>
      <c r="H37" s="6"/>
      <c r="I37" s="6"/>
    </row>
    <row r="38" customFormat="false" ht="39.75" hidden="false" customHeight="true" outlineLevel="0" collapsed="false">
      <c r="A38" s="41" t="n">
        <f aca="false">$B$4+1</f>
        <v>46343</v>
      </c>
      <c r="B38" s="6"/>
      <c r="C38" s="6"/>
      <c r="D38" s="6"/>
      <c r="E38" s="6"/>
      <c r="F38" s="6"/>
      <c r="G38" s="6"/>
      <c r="H38" s="6"/>
      <c r="I38" s="6"/>
    </row>
    <row r="39" customFormat="false" ht="39.75" hidden="false" customHeight="true" outlineLevel="0" collapsed="false">
      <c r="A39" s="41" t="n">
        <f aca="false">$B$4+2</f>
        <v>46344</v>
      </c>
      <c r="B39" s="6"/>
      <c r="C39" s="6"/>
      <c r="D39" s="6"/>
      <c r="E39" s="6"/>
      <c r="F39" s="6"/>
      <c r="G39" s="6"/>
      <c r="H39" s="6"/>
      <c r="I39" s="6"/>
    </row>
    <row r="40" customFormat="false" ht="39.75" hidden="false" customHeight="true" outlineLevel="0" collapsed="false">
      <c r="A40" s="41" t="n">
        <f aca="false">$B$4+3</f>
        <v>46345</v>
      </c>
      <c r="B40" s="6"/>
      <c r="C40" s="6"/>
      <c r="D40" s="6"/>
      <c r="E40" s="6"/>
      <c r="F40" s="6"/>
      <c r="G40" s="6"/>
      <c r="H40" s="6"/>
      <c r="I40" s="6"/>
    </row>
    <row r="41" customFormat="false" ht="39.75" hidden="false" customHeight="true" outlineLevel="0" collapsed="false">
      <c r="A41" s="41" t="n">
        <f aca="false">$B$4+4</f>
        <v>46346</v>
      </c>
      <c r="B41" s="6"/>
      <c r="C41" s="6"/>
      <c r="D41" s="6"/>
      <c r="E41" s="6"/>
      <c r="F41" s="6"/>
      <c r="G41" s="6"/>
      <c r="H41" s="6"/>
      <c r="I41" s="6"/>
    </row>
    <row r="42" customFormat="false" ht="39.75" hidden="false" customHeight="true" outlineLevel="0" collapsed="false">
      <c r="A42" s="41" t="n">
        <f aca="false">$B$4+5</f>
        <v>46347</v>
      </c>
      <c r="B42" s="6"/>
      <c r="C42" s="6"/>
      <c r="D42" s="6"/>
      <c r="E42" s="6"/>
      <c r="F42" s="6"/>
      <c r="G42" s="6"/>
      <c r="H42" s="6"/>
      <c r="I42" s="6"/>
    </row>
    <row r="43" customFormat="false" ht="39.75" hidden="false" customHeight="true" outlineLevel="0" collapsed="false">
      <c r="A43" s="41" t="n">
        <f aca="false">$B$4+6</f>
        <v>46348</v>
      </c>
      <c r="B43" s="6"/>
      <c r="C43" s="6"/>
      <c r="D43" s="6"/>
      <c r="E43" s="6"/>
      <c r="F43" s="6"/>
      <c r="G43" s="6"/>
      <c r="H43" s="6"/>
      <c r="I43" s="6"/>
    </row>
    <row r="45" customFormat="false" ht="15" hidden="false" customHeight="false" outlineLevel="0" collapsed="false">
      <c r="A45" s="3" t="s">
        <v>344</v>
      </c>
      <c r="B45" s="4"/>
      <c r="C45" s="4"/>
      <c r="D45" s="4"/>
      <c r="E45" s="4"/>
      <c r="F45" s="4"/>
      <c r="G45" s="4"/>
      <c r="H45" s="4"/>
      <c r="I45" s="4"/>
    </row>
    <row r="46" customFormat="false" ht="39.75" hidden="false" customHeight="true" outlineLevel="0" collapsed="false">
      <c r="A46" s="29" t="s">
        <v>345</v>
      </c>
      <c r="B46" s="6"/>
      <c r="C46" s="6"/>
      <c r="D46" s="6"/>
      <c r="E46" s="6"/>
      <c r="F46" s="6"/>
      <c r="G46" s="6"/>
      <c r="H46" s="6"/>
      <c r="I46" s="6"/>
    </row>
    <row r="47" customFormat="false" ht="39.75" hidden="false" customHeight="true" outlineLevel="0" collapsed="false">
      <c r="A47" s="29" t="s">
        <v>346</v>
      </c>
      <c r="B47" s="6"/>
      <c r="C47" s="6"/>
      <c r="D47" s="6"/>
      <c r="E47" s="6"/>
      <c r="F47" s="6"/>
      <c r="G47" s="6"/>
      <c r="H47" s="6"/>
      <c r="I47" s="6"/>
    </row>
    <row r="48" customFormat="false" ht="39.75" hidden="false" customHeight="true" outlineLevel="0" collapsed="false">
      <c r="A48" s="29" t="s">
        <v>347</v>
      </c>
      <c r="B48" s="6"/>
      <c r="C48" s="6"/>
      <c r="D48" s="6"/>
      <c r="E48" s="6"/>
      <c r="F48" s="6"/>
      <c r="G48" s="6"/>
      <c r="H48" s="6"/>
      <c r="I48" s="6"/>
    </row>
  </sheetData>
  <mergeCells count="22">
    <mergeCell ref="A22:B22"/>
    <mergeCell ref="A23:B23"/>
    <mergeCell ref="A24:B24"/>
    <mergeCell ref="A25:B25"/>
    <mergeCell ref="A26:B26"/>
    <mergeCell ref="A27:B27"/>
    <mergeCell ref="A28:B28"/>
    <mergeCell ref="A29:B29"/>
    <mergeCell ref="A30:B30"/>
    <mergeCell ref="A31:B31"/>
    <mergeCell ref="A32:B32"/>
    <mergeCell ref="A33:B33"/>
    <mergeCell ref="C37:I37"/>
    <mergeCell ref="C38:I38"/>
    <mergeCell ref="C39:I39"/>
    <mergeCell ref="C40:I40"/>
    <mergeCell ref="C41:I41"/>
    <mergeCell ref="C42:I42"/>
    <mergeCell ref="C43:I43"/>
    <mergeCell ref="B46:I46"/>
    <mergeCell ref="B47:I47"/>
    <mergeCell ref="B48:I48"/>
  </mergeCells>
  <dataValidations count="1">
    <dataValidation allowBlank="true" errorStyle="stop" operator="between" showDropDown="false" showErrorMessage="false" showInputMessage="false" sqref="C8:C19" type="list">
      <formula1>"Homework,Chore,Personal project,Job,Scouts,Other"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4" min="3" style="0" width="15"/>
    <col collapsed="false" customWidth="true" hidden="false" outlineLevel="0" max="5" min="5" style="0" width="14"/>
    <col collapsed="false" customWidth="true" hidden="false" outlineLevel="0" max="6" min="6" style="0" width="30"/>
  </cols>
  <sheetData>
    <row r="1" customFormat="false" ht="19.7" hidden="false" customHeight="false" outlineLevel="0" collapsed="false">
      <c r="A1" s="1" t="s">
        <v>348</v>
      </c>
    </row>
    <row r="2" customFormat="false" ht="15" hidden="false" customHeight="false" outlineLevel="0" collapsed="false">
      <c r="A2" s="2" t="s">
        <v>349</v>
      </c>
    </row>
    <row r="4" customFormat="false" ht="15" hidden="false" customHeight="false" outlineLevel="0" collapsed="false">
      <c r="A4" s="3" t="s">
        <v>350</v>
      </c>
      <c r="B4" s="4"/>
      <c r="C4" s="4"/>
      <c r="D4" s="4"/>
      <c r="E4" s="4"/>
      <c r="F4" s="4"/>
    </row>
    <row r="5" customFormat="false" ht="18" hidden="false" customHeight="true" outlineLevel="0" collapsed="false">
      <c r="A5" s="5" t="s">
        <v>351</v>
      </c>
      <c r="B5" s="6"/>
      <c r="C5" s="6"/>
      <c r="D5" s="6"/>
      <c r="E5" s="6"/>
      <c r="F5" s="6"/>
    </row>
    <row r="6" customFormat="false" ht="39.75" hidden="false" customHeight="true" outlineLevel="0" collapsed="false">
      <c r="A6" s="5" t="s">
        <v>352</v>
      </c>
      <c r="B6" s="6"/>
      <c r="C6" s="6"/>
      <c r="D6" s="6"/>
      <c r="E6" s="6"/>
      <c r="F6" s="6"/>
    </row>
    <row r="7" customFormat="false" ht="69.75" hidden="false" customHeight="true" outlineLevel="0" collapsed="false">
      <c r="A7" s="5" t="s">
        <v>353</v>
      </c>
      <c r="B7" s="6"/>
      <c r="C7" s="6"/>
      <c r="D7" s="6"/>
      <c r="E7" s="6"/>
      <c r="F7" s="6"/>
    </row>
    <row r="9" customFormat="false" ht="15" hidden="false" customHeight="false" outlineLevel="0" collapsed="false">
      <c r="A9" s="3" t="s">
        <v>354</v>
      </c>
      <c r="B9" s="4"/>
      <c r="C9" s="4"/>
      <c r="D9" s="4"/>
      <c r="E9" s="4"/>
      <c r="F9" s="4"/>
    </row>
    <row r="10" customFormat="false" ht="15" hidden="false" customHeight="false" outlineLevel="0" collapsed="false">
      <c r="A10" s="19" t="s">
        <v>355</v>
      </c>
      <c r="B10" s="19" t="s">
        <v>356</v>
      </c>
      <c r="C10" s="19" t="s">
        <v>357</v>
      </c>
      <c r="D10" s="19" t="s">
        <v>358</v>
      </c>
      <c r="E10" s="19" t="s">
        <v>359</v>
      </c>
      <c r="F10" s="19" t="s">
        <v>360</v>
      </c>
    </row>
    <row r="11" customFormat="false" ht="15" hidden="false" customHeight="false" outlineLevel="0" collapsed="false">
      <c r="A11" s="42" t="n">
        <v>1</v>
      </c>
      <c r="B11" s="6" t="s">
        <v>361</v>
      </c>
      <c r="C11" s="7"/>
      <c r="D11" s="7"/>
      <c r="E11" s="10" t="str">
        <f aca="false">IF(OR(C11="",D11=""),"",D11-C11+1)</f>
        <v/>
      </c>
      <c r="F11" s="6" t="s">
        <v>362</v>
      </c>
    </row>
    <row r="12" customFormat="false" ht="15" hidden="false" customHeight="false" outlineLevel="0" collapsed="false">
      <c r="A12" s="42" t="n">
        <v>2</v>
      </c>
      <c r="B12" s="6"/>
      <c r="C12" s="7"/>
      <c r="D12" s="7"/>
      <c r="E12" s="10" t="str">
        <f aca="false">IF(OR(C12="",D12=""),"",D12-C12+1)</f>
        <v/>
      </c>
      <c r="F12" s="6"/>
    </row>
    <row r="13" customFormat="false" ht="15" hidden="false" customHeight="false" outlineLevel="0" collapsed="false">
      <c r="A13" s="42" t="n">
        <v>3</v>
      </c>
      <c r="B13" s="6"/>
      <c r="C13" s="7"/>
      <c r="D13" s="7"/>
      <c r="E13" s="10" t="str">
        <f aca="false">IF(OR(C13="",D13=""),"",D13-C13+1)</f>
        <v/>
      </c>
      <c r="F13" s="6"/>
    </row>
    <row r="14" customFormat="false" ht="15" hidden="false" customHeight="false" outlineLevel="0" collapsed="false">
      <c r="A14" s="42" t="n">
        <v>4</v>
      </c>
      <c r="B14" s="6"/>
      <c r="C14" s="7"/>
      <c r="D14" s="7"/>
      <c r="E14" s="10" t="str">
        <f aca="false">IF(OR(C14="",D14=""),"",D14-C14+1)</f>
        <v/>
      </c>
      <c r="F14" s="6"/>
    </row>
    <row r="15" customFormat="false" ht="15" hidden="false" customHeight="false" outlineLevel="0" collapsed="false">
      <c r="A15" s="42" t="n">
        <v>5</v>
      </c>
      <c r="B15" s="6"/>
      <c r="C15" s="7"/>
      <c r="D15" s="7"/>
      <c r="E15" s="10" t="str">
        <f aca="false">IF(OR(C15="",D15=""),"",D15-C15+1)</f>
        <v/>
      </c>
      <c r="F15" s="6"/>
    </row>
    <row r="16" customFormat="false" ht="15" hidden="false" customHeight="false" outlineLevel="0" collapsed="false">
      <c r="A16" s="42" t="n">
        <v>6</v>
      </c>
      <c r="B16" s="6"/>
      <c r="C16" s="7"/>
      <c r="D16" s="7"/>
      <c r="E16" s="10" t="str">
        <f aca="false">IF(OR(C16="",D16=""),"",D16-C16+1)</f>
        <v/>
      </c>
      <c r="F16" s="6"/>
    </row>
    <row r="17" customFormat="false" ht="15" hidden="false" customHeight="false" outlineLevel="0" collapsed="false">
      <c r="A17" s="42" t="n">
        <v>7</v>
      </c>
      <c r="B17" s="6"/>
      <c r="C17" s="7"/>
      <c r="D17" s="7"/>
      <c r="E17" s="10" t="str">
        <f aca="false">IF(OR(C17="",D17=""),"",D17-C17+1)</f>
        <v/>
      </c>
      <c r="F17" s="6"/>
    </row>
    <row r="18" customFormat="false" ht="15" hidden="false" customHeight="false" outlineLevel="0" collapsed="false">
      <c r="A18" s="42" t="n">
        <v>8</v>
      </c>
      <c r="B18" s="6"/>
      <c r="C18" s="7"/>
      <c r="D18" s="7"/>
      <c r="E18" s="10" t="str">
        <f aca="false">IF(OR(C18="",D18=""),"",D18-C18+1)</f>
        <v/>
      </c>
      <c r="F18" s="6"/>
    </row>
    <row r="19" customFormat="false" ht="15" hidden="false" customHeight="false" outlineLevel="0" collapsed="false">
      <c r="A19" s="42" t="n">
        <v>9</v>
      </c>
      <c r="B19" s="6"/>
      <c r="C19" s="7"/>
      <c r="D19" s="7"/>
      <c r="E19" s="10" t="str">
        <f aca="false">IF(OR(C19="",D19=""),"",D19-C19+1)</f>
        <v/>
      </c>
      <c r="F19" s="6"/>
    </row>
    <row r="20" customFormat="false" ht="15" hidden="false" customHeight="false" outlineLevel="0" collapsed="false">
      <c r="A20" s="42" t="n">
        <v>10</v>
      </c>
      <c r="B20" s="6"/>
      <c r="C20" s="7"/>
      <c r="D20" s="7"/>
      <c r="E20" s="10" t="str">
        <f aca="false">IF(OR(C20="",D20=""),"",D20-C20+1)</f>
        <v/>
      </c>
      <c r="F20" s="6"/>
    </row>
    <row r="22" customFormat="false" ht="15" hidden="false" customHeight="false" outlineLevel="0" collapsed="false">
      <c r="A22" s="3" t="s">
        <v>363</v>
      </c>
      <c r="B22" s="4"/>
      <c r="C22" s="4"/>
      <c r="D22" s="4"/>
      <c r="E22" s="4"/>
      <c r="F22" s="4"/>
    </row>
    <row r="23" customFormat="false" ht="26.85" hidden="false" customHeight="false" outlineLevel="0" collapsed="false">
      <c r="A23" s="19" t="s">
        <v>364</v>
      </c>
      <c r="B23" s="19" t="s">
        <v>365</v>
      </c>
    </row>
    <row r="24" customFormat="false" ht="15" hidden="false" customHeight="false" outlineLevel="0" collapsed="false">
      <c r="A24" s="6"/>
      <c r="B24" s="6"/>
      <c r="C24" s="6"/>
      <c r="D24" s="6"/>
      <c r="E24" s="6"/>
      <c r="F24" s="6"/>
    </row>
    <row r="25" customFormat="false" ht="15" hidden="false" customHeight="false" outlineLevel="0" collapsed="false">
      <c r="A25" s="6"/>
      <c r="B25" s="6"/>
      <c r="C25" s="6"/>
      <c r="D25" s="6"/>
      <c r="E25" s="6"/>
      <c r="F25" s="6"/>
    </row>
    <row r="26" customFormat="false" ht="15" hidden="false" customHeight="false" outlineLevel="0" collapsed="false">
      <c r="A26" s="6"/>
      <c r="B26" s="6"/>
      <c r="C26" s="6"/>
      <c r="D26" s="6"/>
      <c r="E26" s="6"/>
      <c r="F26" s="6"/>
    </row>
    <row r="27" customFormat="false" ht="15" hidden="false" customHeight="false" outlineLevel="0" collapsed="false">
      <c r="A27" s="6"/>
      <c r="B27" s="6"/>
      <c r="C27" s="6"/>
      <c r="D27" s="6"/>
      <c r="E27" s="6"/>
      <c r="F27" s="6"/>
    </row>
    <row r="28" customFormat="false" ht="15" hidden="false" customHeight="false" outlineLevel="0" collapsed="false">
      <c r="A28" s="6"/>
      <c r="B28" s="6"/>
      <c r="C28" s="6"/>
      <c r="D28" s="6"/>
      <c r="E28" s="6"/>
      <c r="F28" s="6"/>
    </row>
    <row r="29" customFormat="false" ht="15" hidden="false" customHeight="false" outlineLevel="0" collapsed="false">
      <c r="A29" s="6"/>
      <c r="B29" s="6"/>
      <c r="C29" s="6"/>
      <c r="D29" s="6"/>
      <c r="E29" s="6"/>
      <c r="F29" s="6"/>
    </row>
    <row r="31" customFormat="false" ht="15" hidden="false" customHeight="false" outlineLevel="0" collapsed="false">
      <c r="A31" s="3" t="s">
        <v>366</v>
      </c>
      <c r="B31" s="4"/>
      <c r="C31" s="4"/>
      <c r="D31" s="4"/>
      <c r="E31" s="4"/>
      <c r="F31" s="4"/>
    </row>
    <row r="32" customFormat="false" ht="15" hidden="false" customHeight="false" outlineLevel="0" collapsed="false">
      <c r="A32" s="19" t="s">
        <v>228</v>
      </c>
      <c r="B32" s="19" t="s">
        <v>210</v>
      </c>
      <c r="C32" s="19" t="s">
        <v>367</v>
      </c>
      <c r="D32" s="19" t="s">
        <v>368</v>
      </c>
      <c r="E32" s="19" t="s">
        <v>369</v>
      </c>
      <c r="F32" s="19" t="s">
        <v>370</v>
      </c>
    </row>
    <row r="33" customFormat="false" ht="15" hidden="false" customHeight="false" outlineLevel="0" collapsed="false">
      <c r="A33" s="6" t="s">
        <v>371</v>
      </c>
      <c r="B33" s="6" t="s">
        <v>372</v>
      </c>
      <c r="C33" s="6" t="n">
        <v>6</v>
      </c>
      <c r="D33" s="23" t="n">
        <v>4.5</v>
      </c>
      <c r="E33" s="24" t="n">
        <f aca="false">IF(OR(C33="",D33=""),"",C33*D33)</f>
        <v>27</v>
      </c>
      <c r="F33" s="6" t="s">
        <v>373</v>
      </c>
    </row>
    <row r="34" customFormat="false" ht="15" hidden="false" customHeight="false" outlineLevel="0" collapsed="false">
      <c r="A34" s="6"/>
      <c r="B34" s="6"/>
      <c r="C34" s="6"/>
      <c r="D34" s="23"/>
      <c r="E34" s="24" t="str">
        <f aca="false">IF(OR(C34="",D34=""),"",C34*D34)</f>
        <v/>
      </c>
      <c r="F34" s="6"/>
    </row>
    <row r="35" customFormat="false" ht="15" hidden="false" customHeight="false" outlineLevel="0" collapsed="false">
      <c r="A35" s="6"/>
      <c r="B35" s="6"/>
      <c r="C35" s="6"/>
      <c r="D35" s="23"/>
      <c r="E35" s="24" t="str">
        <f aca="false">IF(OR(C35="",D35=""),"",C35*D35)</f>
        <v/>
      </c>
      <c r="F35" s="6"/>
    </row>
    <row r="36" customFormat="false" ht="15" hidden="false" customHeight="false" outlineLevel="0" collapsed="false">
      <c r="A36" s="6"/>
      <c r="B36" s="6"/>
      <c r="C36" s="6"/>
      <c r="D36" s="23"/>
      <c r="E36" s="24" t="str">
        <f aca="false">IF(OR(C36="",D36=""),"",C36*D36)</f>
        <v/>
      </c>
      <c r="F36" s="6"/>
    </row>
    <row r="37" customFormat="false" ht="15" hidden="false" customHeight="false" outlineLevel="0" collapsed="false">
      <c r="A37" s="6"/>
      <c r="B37" s="6"/>
      <c r="C37" s="6"/>
      <c r="D37" s="23"/>
      <c r="E37" s="24" t="str">
        <f aca="false">IF(OR(C37="",D37=""),"",C37*D37)</f>
        <v/>
      </c>
      <c r="F37" s="6"/>
    </row>
    <row r="38" customFormat="false" ht="15" hidden="false" customHeight="false" outlineLevel="0" collapsed="false">
      <c r="A38" s="6"/>
      <c r="B38" s="6"/>
      <c r="C38" s="6"/>
      <c r="D38" s="23"/>
      <c r="E38" s="24" t="str">
        <f aca="false">IF(OR(C38="",D38=""),"",C38*D38)</f>
        <v/>
      </c>
      <c r="F38" s="6"/>
    </row>
    <row r="39" customFormat="false" ht="15" hidden="false" customHeight="false" outlineLevel="0" collapsed="false">
      <c r="A39" s="6"/>
      <c r="B39" s="6"/>
      <c r="C39" s="6"/>
      <c r="D39" s="23"/>
      <c r="E39" s="24" t="str">
        <f aca="false">IF(OR(C39="",D39=""),"",C39*D39)</f>
        <v/>
      </c>
      <c r="F39" s="6"/>
    </row>
    <row r="40" customFormat="false" ht="15" hidden="false" customHeight="false" outlineLevel="0" collapsed="false">
      <c r="A40" s="6"/>
      <c r="B40" s="6"/>
      <c r="C40" s="6"/>
      <c r="D40" s="23"/>
      <c r="E40" s="24" t="str">
        <f aca="false">IF(OR(C40="",D40=""),"",C40*D40)</f>
        <v/>
      </c>
      <c r="F40" s="6"/>
    </row>
    <row r="41" customFormat="false" ht="15" hidden="false" customHeight="false" outlineLevel="0" collapsed="false">
      <c r="A41" s="6"/>
      <c r="B41" s="6"/>
      <c r="C41" s="6"/>
      <c r="D41" s="23"/>
      <c r="E41" s="24" t="str">
        <f aca="false">IF(OR(C41="",D41=""),"",C41*D41)</f>
        <v/>
      </c>
      <c r="F41" s="6"/>
    </row>
    <row r="42" customFormat="false" ht="15" hidden="false" customHeight="false" outlineLevel="0" collapsed="false">
      <c r="A42" s="6"/>
      <c r="B42" s="6"/>
      <c r="C42" s="6"/>
      <c r="D42" s="23"/>
      <c r="E42" s="24" t="str">
        <f aca="false">IF(OR(C42="",D42=""),"",C42*D42)</f>
        <v/>
      </c>
      <c r="F42" s="6"/>
    </row>
    <row r="43" customFormat="false" ht="15" hidden="false" customHeight="false" outlineLevel="0" collapsed="false">
      <c r="D43" s="5" t="s">
        <v>374</v>
      </c>
      <c r="E43" s="22" t="n">
        <f aca="false">SUM(E33:E42)</f>
        <v>27</v>
      </c>
    </row>
    <row r="45" customFormat="false" ht="15" hidden="false" customHeight="false" outlineLevel="0" collapsed="false">
      <c r="A45" s="5" t="s">
        <v>375</v>
      </c>
      <c r="B45" s="7"/>
    </row>
  </sheetData>
  <mergeCells count="9">
    <mergeCell ref="B5:F5"/>
    <mergeCell ref="B6:F6"/>
    <mergeCell ref="B7:F7"/>
    <mergeCell ref="B24:F24"/>
    <mergeCell ref="B25:F25"/>
    <mergeCell ref="B26:F26"/>
    <mergeCell ref="B27:F27"/>
    <mergeCell ref="B28:F28"/>
    <mergeCell ref="B29:F29"/>
  </mergeCells>
  <dataValidations count="1">
    <dataValidation allowBlank="true" errorStyle="stop" operator="between" showDropDown="false" showErrorMessage="false" showInputMessage="false" sqref="B33:B42" type="list">
      <formula1>"Food,Supplies,Equipment,Transportation,Fees,Other"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s>
  <sheetData>
    <row r="1" customFormat="false" ht="19.7" hidden="false" customHeight="false" outlineLevel="0" collapsed="false">
      <c r="A1" s="1" t="s">
        <v>376</v>
      </c>
    </row>
    <row r="3" customFormat="false" ht="18" hidden="false" customHeight="true" outlineLevel="0" collapsed="false">
      <c r="A3" s="29" t="s">
        <v>377</v>
      </c>
      <c r="B3" s="6"/>
    </row>
    <row r="4" customFormat="false" ht="39.75" hidden="false" customHeight="true" outlineLevel="0" collapsed="false">
      <c r="A4" s="29" t="s">
        <v>378</v>
      </c>
      <c r="B4" s="6"/>
    </row>
    <row r="5" customFormat="false" ht="39.75" hidden="false" customHeight="true" outlineLevel="0" collapsed="false">
      <c r="A5" s="29" t="s">
        <v>379</v>
      </c>
      <c r="B5" s="6"/>
    </row>
    <row r="6" customFormat="false" ht="39.75" hidden="false" customHeight="true" outlineLevel="0" collapsed="false">
      <c r="A6" s="29" t="s">
        <v>380</v>
      </c>
      <c r="B6" s="6"/>
    </row>
    <row r="7" customFormat="false" ht="39.75" hidden="false" customHeight="true" outlineLevel="0" collapsed="false">
      <c r="A7" s="29" t="s">
        <v>381</v>
      </c>
      <c r="B7" s="6"/>
    </row>
    <row r="8" customFormat="false" ht="39.75" hidden="false" customHeight="true" outlineLevel="0" collapsed="false">
      <c r="A8" s="29" t="s">
        <v>382</v>
      </c>
      <c r="B8" s="6"/>
    </row>
    <row r="9" customFormat="false" ht="49.5" hidden="false" customHeight="true" outlineLevel="0" collapsed="false">
      <c r="A9" s="29" t="s">
        <v>383</v>
      </c>
      <c r="B9" s="6"/>
    </row>
    <row r="11" customFormat="false" ht="15" hidden="false" customHeight="false" outlineLevel="0" collapsed="false">
      <c r="A11" s="3" t="s">
        <v>384</v>
      </c>
      <c r="B11" s="4"/>
    </row>
    <row r="12" customFormat="false" ht="15" hidden="false" customHeight="false" outlineLevel="0" collapsed="false">
      <c r="A12" s="19" t="s">
        <v>385</v>
      </c>
      <c r="B12" s="19" t="s">
        <v>386</v>
      </c>
    </row>
    <row r="13" customFormat="false" ht="15" hidden="false" customHeight="false" outlineLevel="0" collapsed="false">
      <c r="A13" s="26" t="s">
        <v>387</v>
      </c>
      <c r="B13" s="23"/>
    </row>
    <row r="14" customFormat="false" ht="15" hidden="false" customHeight="false" outlineLevel="0" collapsed="false">
      <c r="A14" s="26" t="s">
        <v>388</v>
      </c>
      <c r="B14" s="23"/>
    </row>
    <row r="15" customFormat="false" ht="15" hidden="false" customHeight="false" outlineLevel="0" collapsed="false">
      <c r="A15" s="26" t="s">
        <v>389</v>
      </c>
      <c r="B15" s="23"/>
    </row>
    <row r="16" customFormat="false" ht="15" hidden="false" customHeight="false" outlineLevel="0" collapsed="false">
      <c r="A16" s="26" t="s">
        <v>390</v>
      </c>
      <c r="B16" s="23"/>
    </row>
    <row r="17" customFormat="false" ht="15" hidden="false" customHeight="false" outlineLevel="0" collapsed="false">
      <c r="A17" s="26" t="s">
        <v>391</v>
      </c>
      <c r="B17" s="23"/>
    </row>
    <row r="18" customFormat="false" ht="15" hidden="false" customHeight="false" outlineLevel="0" collapsed="false">
      <c r="A18" s="26" t="s">
        <v>392</v>
      </c>
      <c r="B18" s="23"/>
    </row>
    <row r="19" customFormat="false" ht="15" hidden="false" customHeight="false" outlineLevel="0" collapsed="false">
      <c r="A19" s="5" t="s">
        <v>374</v>
      </c>
      <c r="B19" s="22" t="n">
        <f aca="false">SUM(B13:B18)</f>
        <v>0</v>
      </c>
    </row>
    <row r="21" customFormat="false" ht="45" hidden="false" customHeight="true" outlineLevel="0" collapsed="false">
      <c r="A21" s="29" t="s">
        <v>393</v>
      </c>
      <c r="B21" s="6"/>
    </row>
    <row r="22" customFormat="false" ht="18" hidden="false" customHeight="true" outlineLevel="0" collapsed="false">
      <c r="A22" s="29" t="s">
        <v>375</v>
      </c>
      <c r="B22" s="7"/>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2026-10-07T00:03:03Z</dcterms:created>
  <dc:creator>openpyxl</dc:creator>
  <dc:description/>
  <dc:language>en-US</dc:language>
  <cp:lastModifiedBy/>
  <dcterms:modified xsi:type="dcterms:W3CDTF">2026-10-07T00:03:03Z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